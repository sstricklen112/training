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 S\Desktop\WB\_Trainer\"/>
    </mc:Choice>
  </mc:AlternateContent>
  <xr:revisionPtr revIDLastSave="0" documentId="13_ncr:1_{21AD8BF7-EECF-4FB0-8551-7148A8BAACE0}" xr6:coauthVersionLast="47" xr6:coauthVersionMax="47" xr10:uidLastSave="{00000000-0000-0000-0000-000000000000}"/>
  <bookViews>
    <workbookView xWindow="28680" yWindow="-75" windowWidth="29040" windowHeight="15720" activeTab="1" xr2:uid="{F90D2369-B7F6-4DCB-8FD1-5AF7601DA567}"/>
  </bookViews>
  <sheets>
    <sheet name="B1" sheetId="3" r:id="rId1"/>
    <sheet name="Bond CF" sheetId="1" r:id="rId2"/>
  </sheets>
  <definedNames>
    <definedName name="Basis">'B1'!$D$10</definedName>
    <definedName name="Coupon">'B1'!$D$5</definedName>
    <definedName name="Frequency">'B1'!$D$9</definedName>
    <definedName name="Maturity">'B1'!$D$7</definedName>
    <definedName name="Settlement">'B1'!$D$6</definedName>
    <definedName name="solver_adj" localSheetId="1" hidden="1">'Bond CF'!$C$8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'Bond CF'!$C$18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Yld">'B1'!$D$8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1" l="1"/>
  <c r="D16" i="1" s="1"/>
  <c r="C18" i="1"/>
  <c r="C14" i="1"/>
  <c r="M14" i="1"/>
  <c r="L14" i="1"/>
  <c r="K14" i="1"/>
  <c r="J14" i="1"/>
  <c r="I14" i="1"/>
  <c r="H14" i="1"/>
  <c r="G14" i="1"/>
  <c r="F14" i="1"/>
  <c r="E14" i="1"/>
  <c r="D14" i="1"/>
  <c r="D19" i="1"/>
  <c r="D18" i="1"/>
  <c r="A9" i="3" l="1"/>
  <c r="D12" i="3" s="1"/>
  <c r="C12" i="1"/>
  <c r="E11" i="1"/>
  <c r="E12" i="3"/>
  <c r="E13" i="3"/>
  <c r="F11" i="1" l="1"/>
  <c r="E16" i="1"/>
  <c r="D13" i="3"/>
  <c r="D12" i="1"/>
  <c r="E12" i="1"/>
  <c r="G11" i="1" l="1"/>
  <c r="F16" i="1"/>
  <c r="F12" i="1"/>
  <c r="H11" i="1" l="1"/>
  <c r="G16" i="1"/>
  <c r="G12" i="1"/>
  <c r="I11" i="1" l="1"/>
  <c r="H16" i="1"/>
  <c r="H12" i="1"/>
  <c r="I12" i="1" l="1"/>
  <c r="I16" i="1"/>
  <c r="J11" i="1"/>
  <c r="J16" i="1" l="1"/>
  <c r="J12" i="1"/>
  <c r="K11" i="1"/>
  <c r="K16" i="1" l="1"/>
  <c r="K12" i="1"/>
  <c r="L11" i="1"/>
  <c r="L16" i="1" l="1"/>
  <c r="L12" i="1"/>
  <c r="M11" i="1"/>
  <c r="M16" i="1" l="1"/>
  <c r="C16" i="1" s="1"/>
  <c r="M12" i="1"/>
  <c r="C7" i="1" l="1"/>
  <c r="C19" i="1"/>
</calcChain>
</file>

<file path=xl/sharedStrings.xml><?xml version="1.0" encoding="utf-8"?>
<sst xmlns="http://schemas.openxmlformats.org/spreadsheetml/2006/main" count="33" uniqueCount="29">
  <si>
    <t>CF</t>
  </si>
  <si>
    <t>IRR</t>
  </si>
  <si>
    <t>XIRR</t>
  </si>
  <si>
    <t>Year</t>
  </si>
  <si>
    <t>Duration</t>
  </si>
  <si>
    <t>MDuration</t>
  </si>
  <si>
    <t>PDuration</t>
  </si>
  <si>
    <t>Date</t>
  </si>
  <si>
    <t>Coupon</t>
  </si>
  <si>
    <t>Settlement</t>
  </si>
  <si>
    <t>Maturity</t>
  </si>
  <si>
    <t>Yield</t>
  </si>
  <si>
    <t>Price</t>
  </si>
  <si>
    <t>Simple Example</t>
  </si>
  <si>
    <t>=DURATION(settlement,maturity,coupon,yld,frequency,basis)</t>
  </si>
  <si>
    <t>=MDURATION(settlement,maturity,coupon,yld,frequency,basis)</t>
  </si>
  <si>
    <t>Par</t>
  </si>
  <si>
    <t>Macauley D, assumes $100 par</t>
  </si>
  <si>
    <t>Frequency</t>
  </si>
  <si>
    <t>1, 2, or 4</t>
  </si>
  <si>
    <t>Bond Cash Flow Model</t>
  </si>
  <si>
    <t>Basis</t>
  </si>
  <si>
    <t>0,1,2,3, or 4</t>
  </si>
  <si>
    <t>Compounding Frequency</t>
  </si>
  <si>
    <t>Yld</t>
  </si>
  <si>
    <t>PVCF</t>
  </si>
  <si>
    <t>what yield to match price, goal seek, intro solver</t>
  </si>
  <si>
    <t>data table  for c16, PVCF (yld, coupon)</t>
  </si>
  <si>
    <t>change to semiannual to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</si>
</sst>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&quot;$&quot;#,##0.00"/>
    <numFmt numFmtId="165" formatCode="0.0000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0" fontId="2" fillId="0" borderId="0" xfId="0" applyNumberFormat="1" applyFont="1"/>
    <xf numFmtId="14" fontId="2" fillId="0" borderId="0" xfId="0" applyNumberFormat="1" applyFont="1"/>
    <xf numFmtId="8" fontId="2" fillId="0" borderId="0" xfId="0" applyNumberFormat="1" applyFont="1"/>
    <xf numFmtId="14" fontId="3" fillId="0" borderId="0" xfId="0" applyNumberFormat="1" applyFont="1"/>
    <xf numFmtId="9" fontId="0" fillId="0" borderId="0" xfId="0" applyNumberFormat="1"/>
    <xf numFmtId="49" fontId="0" fillId="0" borderId="0" xfId="0" applyNumberFormat="1"/>
    <xf numFmtId="3" fontId="2" fillId="0" borderId="0" xfId="0" applyNumberFormat="1" applyFont="1"/>
    <xf numFmtId="2" fontId="0" fillId="0" borderId="0" xfId="0" applyNumberFormat="1"/>
    <xf numFmtId="3" fontId="3" fillId="0" borderId="0" xfId="0" applyNumberFormat="1" applyFont="1"/>
    <xf numFmtId="0" fontId="0" fillId="0" borderId="0" xfId="0" quotePrefix="1"/>
    <xf numFmtId="0" fontId="0" fillId="2" borderId="0" xfId="0" applyFill="1"/>
    <xf numFmtId="10" fontId="2" fillId="3" borderId="0" xfId="0" applyNumberFormat="1" applyFont="1" applyFill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D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59530</xdr:rowOff>
        </xdr:from>
        <xdr:to>
          <xdr:col>6</xdr:col>
          <xdr:colOff>95250</xdr:colOff>
          <xdr:row>7</xdr:row>
          <xdr:rowOff>78580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256359" y="821530"/>
              <a:ext cx="940594" cy="590550"/>
              <a:chOff x="2649141" y="571500"/>
              <a:chExt cx="940593" cy="590550"/>
            </a:xfrm>
          </xdr:grpSpPr>
          <xdr:sp macro="" textlink="">
            <xdr:nvSpPr>
              <xdr:cNvPr id="1025" name="Option 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649141" y="571500"/>
                <a:ext cx="940593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Annual</a:t>
                </a:r>
              </a:p>
            </xdr:txBody>
          </xdr:sp>
          <xdr:sp macro="" textlink="">
            <xdr:nvSpPr>
              <xdr:cNvPr id="1026" name="Option 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49141" y="762000"/>
                <a:ext cx="940593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Semi-annual</a:t>
                </a:r>
              </a:p>
            </xdr:txBody>
          </xdr:sp>
          <xdr:sp macro="" textlink="">
            <xdr:nvSpPr>
              <xdr:cNvPr id="1027" name="Option 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49141" y="952500"/>
                <a:ext cx="940593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Quarterly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142875</xdr:rowOff>
        </xdr:from>
        <xdr:to>
          <xdr:col>9</xdr:col>
          <xdr:colOff>190500</xdr:colOff>
          <xdr:row>4</xdr:row>
          <xdr:rowOff>171450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30/360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455F-73C4-4F0B-A61A-6C3EC4F671B1}">
  <sheetPr codeName="Sheet1"/>
  <dimension ref="A1:L18"/>
  <sheetViews>
    <sheetView showGridLines="0" zoomScale="160" zoomScaleNormal="160" workbookViewId="0">
      <selection activeCell="I10" sqref="I10"/>
    </sheetView>
  </sheetViews>
  <sheetFormatPr defaultRowHeight="15" x14ac:dyDescent="0.25"/>
  <cols>
    <col min="1" max="1" width="9.140625" style="16"/>
    <col min="2" max="2" width="1.7109375" customWidth="1"/>
    <col min="3" max="9" width="12.7109375" customWidth="1"/>
  </cols>
  <sheetData>
    <row r="1" spans="1:12" s="16" customFormat="1" x14ac:dyDescent="0.25"/>
    <row r="3" spans="1:12" x14ac:dyDescent="0.25">
      <c r="C3" s="5" t="s">
        <v>13</v>
      </c>
      <c r="I3" t="s">
        <v>21</v>
      </c>
    </row>
    <row r="4" spans="1:12" x14ac:dyDescent="0.25">
      <c r="D4" s="8"/>
      <c r="F4" t="s">
        <v>23</v>
      </c>
      <c r="G4" s="10"/>
    </row>
    <row r="5" spans="1:12" x14ac:dyDescent="0.25">
      <c r="C5" t="s">
        <v>8</v>
      </c>
      <c r="D5" s="6">
        <v>0.08</v>
      </c>
    </row>
    <row r="6" spans="1:12" x14ac:dyDescent="0.25">
      <c r="C6" t="s">
        <v>9</v>
      </c>
      <c r="D6" s="7">
        <v>43282</v>
      </c>
    </row>
    <row r="7" spans="1:12" x14ac:dyDescent="0.25">
      <c r="C7" t="s">
        <v>10</v>
      </c>
      <c r="D7" s="7">
        <v>54058</v>
      </c>
      <c r="G7" s="2"/>
    </row>
    <row r="8" spans="1:12" x14ac:dyDescent="0.25">
      <c r="C8" t="s">
        <v>24</v>
      </c>
      <c r="D8" s="6">
        <v>0.09</v>
      </c>
      <c r="G8" s="2"/>
    </row>
    <row r="9" spans="1:12" x14ac:dyDescent="0.25">
      <c r="A9">
        <f>IF(Frequency=3,4,Frequency)</f>
        <v>4</v>
      </c>
      <c r="C9" t="s">
        <v>18</v>
      </c>
      <c r="D9" s="14">
        <v>3</v>
      </c>
      <c r="G9" t="s">
        <v>19</v>
      </c>
    </row>
    <row r="10" spans="1:12" x14ac:dyDescent="0.25">
      <c r="C10" t="s">
        <v>21</v>
      </c>
      <c r="D10" s="12">
        <v>0</v>
      </c>
      <c r="G10" t="s">
        <v>22</v>
      </c>
    </row>
    <row r="12" spans="1:12" x14ac:dyDescent="0.25">
      <c r="C12" t="s">
        <v>4</v>
      </c>
      <c r="D12" s="13">
        <f>DURATION(Settlement,Maturity,Coupon,Yld,A9,Basis)</f>
        <v>10.708643369360445</v>
      </c>
      <c r="E12" t="str">
        <f t="shared" ref="E12:E13" ca="1" si="0">_xlfn.FORMULATEXT(D12)</f>
        <v>=DURATION(Settlement,Maturity,Coupon,Yld,A9,Basis)</v>
      </c>
      <c r="I12" t="s">
        <v>17</v>
      </c>
    </row>
    <row r="13" spans="1:12" x14ac:dyDescent="0.25">
      <c r="C13" t="s">
        <v>5</v>
      </c>
      <c r="D13" s="13">
        <f>MDURATION(Settlement,Maturity,Coupon,Yld,A9,Basis)</f>
        <v>10.473000850230264</v>
      </c>
      <c r="E13" t="str">
        <f t="shared" ca="1" si="0"/>
        <v>=MDURATION(Settlement,Maturity,Coupon,Yld,A9,Basis)</v>
      </c>
    </row>
    <row r="14" spans="1:12" x14ac:dyDescent="0.25">
      <c r="L14" s="11"/>
    </row>
    <row r="15" spans="1:12" x14ac:dyDescent="0.25">
      <c r="C15" t="s">
        <v>6</v>
      </c>
    </row>
    <row r="16" spans="1:12" x14ac:dyDescent="0.25">
      <c r="E16" s="15"/>
    </row>
    <row r="17" spans="5:5" x14ac:dyDescent="0.25">
      <c r="E17" s="11" t="s">
        <v>14</v>
      </c>
    </row>
    <row r="18" spans="5:5" x14ac:dyDescent="0.25">
      <c r="E18" s="11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4</xdr:col>
                    <xdr:colOff>847725</xdr:colOff>
                    <xdr:row>4</xdr:row>
                    <xdr:rowOff>57150</xdr:rowOff>
                  </from>
                  <to>
                    <xdr:col>6</xdr:col>
                    <xdr:colOff>95250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4</xdr:col>
                    <xdr:colOff>847725</xdr:colOff>
                    <xdr:row>5</xdr:row>
                    <xdr:rowOff>57150</xdr:rowOff>
                  </from>
                  <to>
                    <xdr:col>6</xdr:col>
                    <xdr:colOff>95250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4</xdr:col>
                    <xdr:colOff>847725</xdr:colOff>
                    <xdr:row>6</xdr:row>
                    <xdr:rowOff>57150</xdr:rowOff>
                  </from>
                  <to>
                    <xdr:col>6</xdr:col>
                    <xdr:colOff>95250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8</xdr:col>
                    <xdr:colOff>85725</xdr:colOff>
                    <xdr:row>3</xdr:row>
                    <xdr:rowOff>142875</xdr:rowOff>
                  </from>
                  <to>
                    <xdr:col>9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3F126-81BB-4B66-AB97-9D2B64EF6DFF}">
  <sheetPr codeName="Sheet2"/>
  <dimension ref="B2:M19"/>
  <sheetViews>
    <sheetView showGridLines="0" tabSelected="1" zoomScale="130" zoomScaleNormal="130" workbookViewId="0">
      <selection activeCell="J20" sqref="J20:J21"/>
    </sheetView>
  </sheetViews>
  <sheetFormatPr defaultRowHeight="15" x14ac:dyDescent="0.25"/>
  <cols>
    <col min="1" max="1" width="1.7109375" customWidth="1"/>
    <col min="2" max="2" width="12.7109375" customWidth="1"/>
    <col min="3" max="13" width="10.7109375" customWidth="1"/>
  </cols>
  <sheetData>
    <row r="2" spans="2:13" x14ac:dyDescent="0.25">
      <c r="B2" s="5" t="s">
        <v>20</v>
      </c>
    </row>
    <row r="3" spans="2:13" x14ac:dyDescent="0.25">
      <c r="B3" s="5"/>
    </row>
    <row r="4" spans="2:13" x14ac:dyDescent="0.25">
      <c r="B4" t="s">
        <v>12</v>
      </c>
      <c r="C4" s="8">
        <v>102</v>
      </c>
    </row>
    <row r="5" spans="2:13" x14ac:dyDescent="0.25">
      <c r="B5" t="s">
        <v>8</v>
      </c>
      <c r="C5" s="6">
        <v>0.08</v>
      </c>
    </row>
    <row r="6" spans="2:13" x14ac:dyDescent="0.25">
      <c r="B6" t="s">
        <v>9</v>
      </c>
      <c r="C6" s="7">
        <v>43282</v>
      </c>
    </row>
    <row r="7" spans="2:13" x14ac:dyDescent="0.25">
      <c r="B7" t="s">
        <v>10</v>
      </c>
      <c r="C7" s="9">
        <f>M12</f>
        <v>46935</v>
      </c>
      <c r="F7" s="2" t="s">
        <v>28</v>
      </c>
    </row>
    <row r="8" spans="2:13" x14ac:dyDescent="0.25">
      <c r="B8" t="s">
        <v>11</v>
      </c>
      <c r="C8" s="17">
        <v>0.1</v>
      </c>
      <c r="F8" s="10" t="s">
        <v>26</v>
      </c>
    </row>
    <row r="9" spans="2:13" x14ac:dyDescent="0.25">
      <c r="B9" t="s">
        <v>16</v>
      </c>
      <c r="C9" s="8">
        <v>100</v>
      </c>
      <c r="F9" s="2" t="s">
        <v>27</v>
      </c>
    </row>
    <row r="10" spans="2:13" x14ac:dyDescent="0.25">
      <c r="C10" s="1"/>
    </row>
    <row r="11" spans="2:13" x14ac:dyDescent="0.25">
      <c r="B11" t="s">
        <v>3</v>
      </c>
      <c r="C11">
        <v>0</v>
      </c>
      <c r="D11">
        <f>C11+1</f>
        <v>1</v>
      </c>
      <c r="E11">
        <f t="shared" ref="E11:H11" si="0">D11+1</f>
        <v>2</v>
      </c>
      <c r="F11">
        <f t="shared" si="0"/>
        <v>3</v>
      </c>
      <c r="G11">
        <f t="shared" si="0"/>
        <v>4</v>
      </c>
      <c r="H11">
        <f t="shared" si="0"/>
        <v>5</v>
      </c>
      <c r="I11">
        <f t="shared" ref="I11" si="1">H11+1</f>
        <v>6</v>
      </c>
      <c r="J11">
        <f t="shared" ref="J11" si="2">I11+1</f>
        <v>7</v>
      </c>
      <c r="K11">
        <f t="shared" ref="K11" si="3">J11+1</f>
        <v>8</v>
      </c>
      <c r="L11">
        <f t="shared" ref="L11" si="4">K11+1</f>
        <v>9</v>
      </c>
      <c r="M11">
        <f t="shared" ref="M11" si="5">L11+1</f>
        <v>10</v>
      </c>
    </row>
    <row r="12" spans="2:13" x14ac:dyDescent="0.25">
      <c r="B12" t="s">
        <v>7</v>
      </c>
      <c r="C12" s="1">
        <f>EDATE(C6,0)</f>
        <v>43282</v>
      </c>
      <c r="D12" s="1">
        <f>EDATE($C$12,12*D11)</f>
        <v>43647</v>
      </c>
      <c r="E12" s="1">
        <f t="shared" ref="E12:H12" si="6">EDATE($C$12,12*E11)</f>
        <v>44013</v>
      </c>
      <c r="F12" s="1">
        <f t="shared" si="6"/>
        <v>44378</v>
      </c>
      <c r="G12" s="1">
        <f t="shared" si="6"/>
        <v>44743</v>
      </c>
      <c r="H12" s="1">
        <f t="shared" si="6"/>
        <v>45108</v>
      </c>
      <c r="I12" s="1">
        <f t="shared" ref="I12:M12" si="7">EDATE($C$12,12*I11)</f>
        <v>45474</v>
      </c>
      <c r="J12" s="1">
        <f t="shared" si="7"/>
        <v>45839</v>
      </c>
      <c r="K12" s="1">
        <f t="shared" si="7"/>
        <v>46204</v>
      </c>
      <c r="L12" s="1">
        <f t="shared" si="7"/>
        <v>46569</v>
      </c>
      <c r="M12" s="1">
        <f t="shared" si="7"/>
        <v>46935</v>
      </c>
    </row>
    <row r="14" spans="2:13" x14ac:dyDescent="0.25">
      <c r="B14" t="s">
        <v>0</v>
      </c>
      <c r="C14" s="3">
        <f>-C4</f>
        <v>-102</v>
      </c>
      <c r="D14" s="3">
        <f>$C$5*$C$9</f>
        <v>8</v>
      </c>
      <c r="E14" s="3">
        <f t="shared" ref="E14:L14" si="8">$C$5*$C$9</f>
        <v>8</v>
      </c>
      <c r="F14" s="3">
        <f t="shared" si="8"/>
        <v>8</v>
      </c>
      <c r="G14" s="3">
        <f t="shared" si="8"/>
        <v>8</v>
      </c>
      <c r="H14" s="3">
        <f t="shared" si="8"/>
        <v>8</v>
      </c>
      <c r="I14" s="3">
        <f t="shared" si="8"/>
        <v>8</v>
      </c>
      <c r="J14" s="3">
        <f t="shared" si="8"/>
        <v>8</v>
      </c>
      <c r="K14" s="3">
        <f t="shared" si="8"/>
        <v>8</v>
      </c>
      <c r="L14" s="3">
        <f t="shared" si="8"/>
        <v>8</v>
      </c>
      <c r="M14" s="3">
        <f>$C$9+L14</f>
        <v>108</v>
      </c>
    </row>
    <row r="16" spans="2:13" x14ac:dyDescent="0.25">
      <c r="B16" t="s">
        <v>25</v>
      </c>
      <c r="C16" s="18">
        <f>SUM(D16:M16)</f>
        <v>87.710865788590596</v>
      </c>
      <c r="D16" s="3">
        <f>D14/(1+$C$8)^D11</f>
        <v>7.2727272727272725</v>
      </c>
      <c r="E16" s="3">
        <f t="shared" ref="E16:M16" si="9">E14/(1+$C$8)^E11</f>
        <v>6.6115702479338836</v>
      </c>
      <c r="F16" s="3">
        <f t="shared" si="9"/>
        <v>6.0105184072126203</v>
      </c>
      <c r="G16" s="3">
        <f t="shared" si="9"/>
        <v>5.4641076429205642</v>
      </c>
      <c r="H16" s="3">
        <f t="shared" si="9"/>
        <v>4.9673705844732394</v>
      </c>
      <c r="I16" s="3">
        <f t="shared" si="9"/>
        <v>4.5157914404302177</v>
      </c>
      <c r="J16" s="3">
        <f t="shared" si="9"/>
        <v>4.1052649458456516</v>
      </c>
      <c r="K16" s="3">
        <f t="shared" si="9"/>
        <v>3.7320590416778652</v>
      </c>
      <c r="L16" s="3">
        <f t="shared" si="9"/>
        <v>3.3927809469798773</v>
      </c>
      <c r="M16" s="3">
        <f t="shared" si="9"/>
        <v>41.638675258389398</v>
      </c>
    </row>
    <row r="17" spans="2:4" x14ac:dyDescent="0.25">
      <c r="C17" s="4"/>
    </row>
    <row r="18" spans="2:4" x14ac:dyDescent="0.25">
      <c r="B18" t="s">
        <v>1</v>
      </c>
      <c r="C18" s="2">
        <f>IRR(C14:M14,0.1)</f>
        <v>7.7058830704830328E-2</v>
      </c>
      <c r="D18" t="str">
        <f ca="1">_xlfn.FORMULATEXT(C18)</f>
        <v>=IRR(C14:M14,0.1)</v>
      </c>
    </row>
    <row r="19" spans="2:4" x14ac:dyDescent="0.25">
      <c r="B19" t="s">
        <v>2</v>
      </c>
      <c r="C19" s="2">
        <f>XIRR(C14:M14,C12:M12,0.1)</f>
        <v>7.6995196938514698E-2</v>
      </c>
      <c r="D19" t="str">
        <f ca="1">_xlfn.FORMULATEXT(C19)</f>
        <v>=XIRR(C14:M14,C12:M12,0.1)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B1</vt:lpstr>
      <vt:lpstr>Bond CF</vt:lpstr>
      <vt:lpstr>Basis</vt:lpstr>
      <vt:lpstr>Coupon</vt:lpstr>
      <vt:lpstr>Frequency</vt:lpstr>
      <vt:lpstr>Maturity</vt:lpstr>
      <vt:lpstr>Settlement</vt:lpstr>
      <vt:lpstr>Yld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Stricklen</dc:creator>
  <cp:lastModifiedBy>Trainer</cp:lastModifiedBy>
  <dcterms:created xsi:type="dcterms:W3CDTF">2022-08-13T05:41:45Z</dcterms:created>
  <dcterms:modified xsi:type="dcterms:W3CDTF">2022-09-01T12:32:32Z</dcterms:modified>
</cp:coreProperties>
</file>