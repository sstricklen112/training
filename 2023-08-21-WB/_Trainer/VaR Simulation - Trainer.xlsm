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teve S\Desktop\WB\_Trainer\"/>
    </mc:Choice>
  </mc:AlternateContent>
  <xr:revisionPtr revIDLastSave="0" documentId="13_ncr:1_{7EC80F2E-8095-4A39-90E6-2D18C00858F9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Note" sheetId="18" r:id="rId1"/>
    <sheet name="Page 736" sheetId="16" r:id="rId2"/>
    <sheet name="Data" sheetId="17" r:id="rId3"/>
  </sheets>
  <functionGroups builtInGroupCount="19"/>
  <definedNames>
    <definedName name="varcov" localSheetId="1">#REF!</definedName>
    <definedName name="varcov">#REF!</definedName>
  </definedNames>
  <calcPr calcId="191029" calcMode="autoNoTable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6" i="16" l="1"/>
  <c r="B25" i="16"/>
  <c r="B27" i="16" s="1"/>
  <c r="B24" i="16"/>
  <c r="C19" i="16"/>
  <c r="C18" i="16"/>
  <c r="C17" i="16"/>
  <c r="C26" i="16"/>
  <c r="C24" i="16"/>
  <c r="C27" i="16"/>
  <c r="C25" i="16"/>
  <c r="C23" i="16"/>
  <c r="K9" i="17" a="1"/>
  <c r="L9" i="17" l="1"/>
  <c r="M10" i="17"/>
  <c r="M9" i="17"/>
  <c r="K11" i="17"/>
  <c r="K10" i="17"/>
  <c r="L11" i="17"/>
  <c r="K9" i="17"/>
  <c r="L10" i="17"/>
  <c r="M11" i="17"/>
  <c r="C6" i="16"/>
  <c r="B6" i="16"/>
  <c r="A6" i="16"/>
  <c r="B23" i="16"/>
  <c r="C14" i="16"/>
  <c r="I22" i="17"/>
  <c r="H22" i="17"/>
  <c r="G22" i="17"/>
  <c r="I21" i="17"/>
  <c r="H21" i="17"/>
  <c r="G21" i="17"/>
  <c r="I20" i="17"/>
  <c r="H20" i="17"/>
  <c r="G20" i="17"/>
  <c r="I19" i="17"/>
  <c r="H19" i="17"/>
  <c r="G19" i="17"/>
  <c r="I18" i="17"/>
  <c r="H18" i="17"/>
  <c r="G18" i="17"/>
  <c r="I17" i="17"/>
  <c r="H17" i="17"/>
  <c r="G17" i="17"/>
  <c r="I16" i="17"/>
  <c r="H16" i="17"/>
  <c r="G16" i="17"/>
  <c r="I15" i="17"/>
  <c r="H15" i="17"/>
  <c r="G15" i="17"/>
  <c r="I14" i="17"/>
  <c r="H14" i="17"/>
  <c r="G14" i="17"/>
  <c r="I13" i="17"/>
  <c r="H13" i="17"/>
  <c r="G13" i="17"/>
  <c r="I12" i="17"/>
  <c r="H12" i="17"/>
  <c r="G12" i="17"/>
  <c r="I11" i="17"/>
  <c r="H11" i="17"/>
  <c r="G11" i="17"/>
  <c r="I10" i="17"/>
  <c r="H10" i="17"/>
  <c r="G10" i="17"/>
  <c r="I9" i="17"/>
  <c r="H9" i="17"/>
  <c r="G9" i="17"/>
  <c r="I8" i="17"/>
  <c r="H8" i="17"/>
  <c r="G8" i="17"/>
  <c r="I7" i="17"/>
  <c r="H7" i="17"/>
  <c r="G7" i="17"/>
  <c r="I6" i="17"/>
  <c r="H6" i="17"/>
  <c r="G6" i="17"/>
  <c r="I5" i="17"/>
  <c r="H5" i="17"/>
  <c r="G5" i="17"/>
  <c r="I4" i="17"/>
  <c r="H4" i="17"/>
  <c r="G4" i="17"/>
  <c r="I3" i="17"/>
  <c r="H3" i="17"/>
  <c r="G3" i="17"/>
  <c r="D6" i="16"/>
  <c r="K3" i="17" a="1"/>
  <c r="C30" i="16"/>
  <c r="K4" i="17" l="1"/>
  <c r="L5" i="17"/>
  <c r="K3" i="17"/>
  <c r="L4" i="17"/>
  <c r="M5" i="17"/>
  <c r="L3" i="17"/>
  <c r="M4" i="17"/>
  <c r="M3" i="17"/>
  <c r="K5" i="17"/>
  <c r="A9" i="16" l="1" a="1"/>
  <c r="A9" i="16" s="1"/>
  <c r="B9" i="16" l="1"/>
  <c r="B11" i="16"/>
  <c r="C10" i="16"/>
  <c r="C9" i="16"/>
  <c r="C11" i="16"/>
  <c r="A10" i="16"/>
  <c r="B10" i="16"/>
  <c r="A11" i="16"/>
  <c r="G24" i="16" a="1"/>
  <c r="G30" i="16" a="1"/>
  <c r="G27" i="16" a="1"/>
  <c r="G28" i="16" a="1"/>
  <c r="G18" i="16" a="1"/>
  <c r="G7" i="16" a="1"/>
  <c r="G31" i="16" a="1"/>
  <c r="G14" i="16" a="1"/>
  <c r="G13" i="16" a="1"/>
  <c r="G21" i="16" a="1"/>
  <c r="G11" i="16" a="1"/>
  <c r="G5" i="16" a="1"/>
  <c r="G23" i="16" a="1"/>
  <c r="G15" i="16" a="1"/>
  <c r="G16" i="16" a="1"/>
  <c r="G19" i="16" a="1"/>
  <c r="G25" i="16" a="1"/>
  <c r="G26" i="16" a="1"/>
  <c r="G29" i="16" a="1"/>
  <c r="G20" i="16" a="1"/>
  <c r="G33" i="16" a="1"/>
  <c r="G6" i="16" a="1"/>
  <c r="G34" i="16" a="1"/>
  <c r="G8" i="16" a="1"/>
  <c r="G17" i="16" a="1"/>
  <c r="G12" i="16" a="1"/>
  <c r="G22" i="16" a="1"/>
  <c r="G32" i="16" a="1"/>
  <c r="G9" i="16" a="1"/>
  <c r="G10" i="16" a="1"/>
  <c r="G24" i="16" l="1"/>
  <c r="H24" i="16"/>
  <c r="I24" i="16"/>
  <c r="H10" i="16"/>
  <c r="I10" i="16"/>
  <c r="G10" i="16"/>
  <c r="H9" i="16"/>
  <c r="I9" i="16"/>
  <c r="G9" i="16"/>
  <c r="H32" i="16"/>
  <c r="I32" i="16"/>
  <c r="G32" i="16"/>
  <c r="H22" i="16"/>
  <c r="I22" i="16"/>
  <c r="G22" i="16"/>
  <c r="I12" i="16"/>
  <c r="G12" i="16"/>
  <c r="H12" i="16"/>
  <c r="H17" i="16"/>
  <c r="G17" i="16"/>
  <c r="I17" i="16"/>
  <c r="I8" i="16"/>
  <c r="H8" i="16"/>
  <c r="G8" i="16"/>
  <c r="H34" i="16"/>
  <c r="G34" i="16"/>
  <c r="I34" i="16"/>
  <c r="H6" i="16"/>
  <c r="I6" i="16"/>
  <c r="G6" i="16"/>
  <c r="H33" i="16"/>
  <c r="I33" i="16"/>
  <c r="G33" i="16"/>
  <c r="G20" i="16"/>
  <c r="H20" i="16"/>
  <c r="I20" i="16"/>
  <c r="H29" i="16"/>
  <c r="I29" i="16"/>
  <c r="G29" i="16"/>
  <c r="I26" i="16"/>
  <c r="H26" i="16"/>
  <c r="G26" i="16"/>
  <c r="G25" i="16"/>
  <c r="H25" i="16"/>
  <c r="I25" i="16"/>
  <c r="G19" i="16"/>
  <c r="I19" i="16"/>
  <c r="H19" i="16"/>
  <c r="G16" i="16"/>
  <c r="I16" i="16"/>
  <c r="H16" i="16"/>
  <c r="G15" i="16"/>
  <c r="I15" i="16"/>
  <c r="H15" i="16"/>
  <c r="G23" i="16"/>
  <c r="H23" i="16"/>
  <c r="I23" i="16"/>
  <c r="H5" i="16"/>
  <c r="I5" i="16"/>
  <c r="G5" i="16"/>
  <c r="J5" i="16" s="1" a="1"/>
  <c r="J5" i="16" s="1"/>
  <c r="J6" i="16" s="1" a="1"/>
  <c r="J6" i="16" s="1"/>
  <c r="J7" i="16" s="1" a="1"/>
  <c r="J7" i="16" s="1"/>
  <c r="J8" i="16" s="1" a="1"/>
  <c r="J8" i="16" s="1"/>
  <c r="J9" i="16" s="1" a="1"/>
  <c r="J9" i="16" s="1"/>
  <c r="J10" i="16" s="1" a="1"/>
  <c r="J10" i="16" s="1"/>
  <c r="J11" i="16" s="1" a="1"/>
  <c r="J11" i="16" s="1"/>
  <c r="J12" i="16" s="1" a="1"/>
  <c r="J12" i="16" s="1"/>
  <c r="J13" i="16" s="1" a="1"/>
  <c r="J13" i="16" s="1"/>
  <c r="J14" i="16" s="1" a="1"/>
  <c r="J14" i="16" s="1"/>
  <c r="J15" i="16" s="1" a="1"/>
  <c r="J15" i="16" s="1"/>
  <c r="J16" i="16" s="1" a="1"/>
  <c r="J16" i="16" s="1"/>
  <c r="J17" i="16" s="1" a="1"/>
  <c r="J17" i="16" s="1"/>
  <c r="J18" i="16" s="1" a="1"/>
  <c r="J18" i="16" s="1"/>
  <c r="J19" i="16" s="1" a="1"/>
  <c r="J19" i="16" s="1"/>
  <c r="J20" i="16" s="1" a="1"/>
  <c r="J20" i="16" s="1"/>
  <c r="J21" i="16" s="1" a="1"/>
  <c r="J21" i="16" s="1"/>
  <c r="J22" i="16" s="1" a="1"/>
  <c r="J22" i="16" s="1"/>
  <c r="J23" i="16" s="1" a="1"/>
  <c r="J23" i="16" s="1"/>
  <c r="G11" i="16"/>
  <c r="H11" i="16"/>
  <c r="I11" i="16"/>
  <c r="H21" i="16"/>
  <c r="I21" i="16"/>
  <c r="G21" i="16"/>
  <c r="H13" i="16"/>
  <c r="I13" i="16"/>
  <c r="G13" i="16"/>
  <c r="G14" i="16"/>
  <c r="H14" i="16"/>
  <c r="I14" i="16"/>
  <c r="H31" i="16"/>
  <c r="I31" i="16"/>
  <c r="G31" i="16"/>
  <c r="G7" i="16"/>
  <c r="H7" i="16"/>
  <c r="I7" i="16"/>
  <c r="H18" i="16"/>
  <c r="G18" i="16"/>
  <c r="I18" i="16"/>
  <c r="I28" i="16"/>
  <c r="G28" i="16"/>
  <c r="H28" i="16"/>
  <c r="G27" i="16"/>
  <c r="H27" i="16"/>
  <c r="I27" i="16"/>
  <c r="G30" i="16"/>
  <c r="I30" i="16"/>
  <c r="H30" i="16"/>
  <c r="J24" i="16" l="1" a="1"/>
  <c r="J24" i="16" s="1"/>
  <c r="J25" i="16" s="1" a="1"/>
  <c r="J25" i="16" s="1"/>
  <c r="J26" i="16" l="1" a="1"/>
  <c r="J26" i="16" s="1"/>
  <c r="J27" i="16" s="1" a="1"/>
  <c r="J27" i="16" s="1"/>
  <c r="J28" i="16" s="1" a="1"/>
  <c r="J28" i="16" s="1"/>
  <c r="J29" i="16" s="1" a="1"/>
  <c r="J29" i="16" s="1"/>
  <c r="J30" i="16" s="1" a="1"/>
  <c r="J30" i="16" s="1"/>
  <c r="J31" i="16" s="1" a="1"/>
  <c r="J31" i="16" s="1"/>
  <c r="J32" i="16" s="1" a="1"/>
  <c r="J32" i="16" s="1"/>
  <c r="J33" i="16" s="1" a="1"/>
  <c r="J33" i="16" s="1"/>
  <c r="J34" i="16" s="1" a="1"/>
  <c r="J34" i="16" s="1"/>
  <c r="B18" i="16" l="1"/>
  <c r="B17" i="16"/>
  <c r="B30" i="16"/>
  <c r="B19" i="16"/>
</calcChain>
</file>

<file path=xl/sharedStrings.xml><?xml version="1.0" encoding="utf-8"?>
<sst xmlns="http://schemas.openxmlformats.org/spreadsheetml/2006/main" count="35" uniqueCount="31">
  <si>
    <t>Variance-covariance matrix</t>
  </si>
  <si>
    <t>Date</t>
  </si>
  <si>
    <t>Portfolio</t>
  </si>
  <si>
    <t>Simulated portfolio returns</t>
  </si>
  <si>
    <t>Mean</t>
  </si>
  <si>
    <t>Sigma</t>
  </si>
  <si>
    <t>Min</t>
  </si>
  <si>
    <t>Annual means</t>
  </si>
  <si>
    <t>Daily means</t>
  </si>
  <si>
    <t>QQQ</t>
  </si>
  <si>
    <t>SPY</t>
  </si>
  <si>
    <t>BND</t>
  </si>
  <si>
    <t>Data table:  1000 simulations</t>
  </si>
  <si>
    <t>Cumulative</t>
  </si>
  <si>
    <t>VaR:  SIMULATING PORTFOLIO PERFORMANCE</t>
  </si>
  <si>
    <t>Data table results</t>
  </si>
  <si>
    <t>Asset1</t>
  </si>
  <si>
    <t>Asset2</t>
  </si>
  <si>
    <t>Asset3</t>
  </si>
  <si>
    <t>Daily asset returns</t>
  </si>
  <si>
    <t>Cumulative portfolio</t>
  </si>
  <si>
    <t>30 days of simulated returns</t>
  </si>
  <si>
    <r>
      <t xml:space="preserve">The one active spreadsheet on this sheet is very computationally intensive.  Turn off recalculation of data tables!  
</t>
    </r>
    <r>
      <rPr>
        <b/>
        <sz val="11"/>
        <color theme="1"/>
        <rFont val="Calibri"/>
        <family val="2"/>
        <scheme val="minor"/>
      </rPr>
      <t>File|Options|Formulas</t>
    </r>
    <r>
      <rPr>
        <sz val="11"/>
        <color theme="1"/>
        <rFont val="Calibri"/>
        <family val="2"/>
        <scheme val="minor"/>
      </rPr>
      <t xml:space="preserve"> (see below)</t>
    </r>
  </si>
  <si>
    <t>Correlation matrix</t>
  </si>
  <si>
    <t>Covariance matrix</t>
  </si>
  <si>
    <r>
      <t>Note</t>
    </r>
    <r>
      <rPr>
        <sz val="11"/>
        <color theme="1"/>
        <rFont val="Arial"/>
        <family val="2"/>
      </rPr>
      <t>:  The example on page 736 is taken from this data.  The correlation matrix shows more information about the three assets and is more comprehensible than the covariance matrix.</t>
    </r>
  </si>
  <si>
    <t>Look on the next tab for some information about the data used in this example.</t>
  </si>
  <si>
    <t>Average</t>
  </si>
  <si>
    <t>Var(95)</t>
  </si>
  <si>
    <t>Prob of Neg</t>
  </si>
  <si>
    <t>CVaR(95)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</si>
</sst>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6" formatCode="#,##0.0000"/>
    <numFmt numFmtId="167" formatCode="[$-409]d/mmm/yy;@"/>
    <numFmt numFmtId="168" formatCode="0.000E+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4">
    <xf numFmtId="0" fontId="0" fillId="0" borderId="0"/>
    <xf numFmtId="0" fontId="4" fillId="0" borderId="0"/>
    <xf numFmtId="9" fontId="6" fillId="0" borderId="0" applyFont="0" applyFill="0" applyBorder="0" applyAlignment="0" applyProtection="0"/>
    <xf numFmtId="0" fontId="3" fillId="0" borderId="0"/>
  </cellStyleXfs>
  <cellXfs count="57">
    <xf numFmtId="0" fontId="0" fillId="0" borderId="0" xfId="0"/>
    <xf numFmtId="165" fontId="0" fillId="0" borderId="0" xfId="0" applyNumberFormat="1"/>
    <xf numFmtId="0" fontId="5" fillId="0" borderId="0" xfId="0" applyFont="1" applyAlignment="1">
      <alignment horizontal="center"/>
    </xf>
    <xf numFmtId="0" fontId="0" fillId="0" borderId="0" xfId="0" applyFont="1"/>
    <xf numFmtId="10" fontId="0" fillId="0" borderId="0" xfId="2" applyNumberFormat="1" applyFont="1"/>
    <xf numFmtId="10" fontId="0" fillId="0" borderId="0" xfId="0" applyNumberFormat="1"/>
    <xf numFmtId="0" fontId="0" fillId="0" borderId="0" xfId="0" applyFont="1" applyAlignment="1">
      <alignment horizontal="center"/>
    </xf>
    <xf numFmtId="0" fontId="0" fillId="0" borderId="0" xfId="0" applyFill="1"/>
    <xf numFmtId="164" fontId="0" fillId="0" borderId="0" xfId="0" applyNumberFormat="1" applyFill="1"/>
    <xf numFmtId="0" fontId="0" fillId="0" borderId="0" xfId="0" applyFill="1" applyAlignment="1"/>
    <xf numFmtId="9" fontId="0" fillId="0" borderId="0" xfId="2" applyFont="1" applyFill="1"/>
    <xf numFmtId="10" fontId="0" fillId="0" borderId="0" xfId="2" applyNumberFormat="1" applyFont="1" applyAlignment="1">
      <alignment wrapText="1"/>
    </xf>
    <xf numFmtId="10" fontId="0" fillId="0" borderId="0" xfId="2" applyNumberFormat="1" applyFont="1" applyFill="1"/>
    <xf numFmtId="0" fontId="7" fillId="0" borderId="0" xfId="0" applyFont="1" applyAlignment="1">
      <alignment horizontal="center"/>
    </xf>
    <xf numFmtId="0" fontId="3" fillId="0" borderId="0" xfId="3"/>
    <xf numFmtId="167" fontId="3" fillId="0" borderId="0" xfId="3" applyNumberFormat="1"/>
    <xf numFmtId="168" fontId="3" fillId="0" borderId="0" xfId="3" applyNumberFormat="1"/>
    <xf numFmtId="168" fontId="0" fillId="0" borderId="0" xfId="0" applyNumberFormat="1"/>
    <xf numFmtId="3" fontId="0" fillId="0" borderId="0" xfId="0" applyNumberFormat="1" applyFill="1" applyAlignment="1">
      <alignment horizontal="center"/>
    </xf>
    <xf numFmtId="0" fontId="0" fillId="0" borderId="2" xfId="0" applyFill="1" applyBorder="1" applyAlignment="1">
      <alignment wrapText="1"/>
    </xf>
    <xf numFmtId="0" fontId="0" fillId="0" borderId="3" xfId="0" applyFill="1" applyBorder="1"/>
    <xf numFmtId="0" fontId="0" fillId="0" borderId="4" xfId="0" applyBorder="1"/>
    <xf numFmtId="10" fontId="0" fillId="0" borderId="0" xfId="0" applyNumberFormat="1" applyBorder="1"/>
    <xf numFmtId="0" fontId="0" fillId="0" borderId="0" xfId="0" applyFill="1" applyBorder="1" applyAlignment="1"/>
    <xf numFmtId="0" fontId="0" fillId="0" borderId="0" xfId="0" applyFill="1" applyBorder="1" applyAlignment="1">
      <alignment wrapText="1"/>
    </xf>
    <xf numFmtId="0" fontId="0" fillId="0" borderId="5" xfId="0" applyFill="1" applyBorder="1" applyAlignment="1">
      <alignment wrapText="1"/>
    </xf>
    <xf numFmtId="0" fontId="0" fillId="0" borderId="0" xfId="0" applyBorder="1"/>
    <xf numFmtId="10" fontId="0" fillId="0" borderId="0" xfId="2" applyNumberFormat="1" applyFont="1" applyBorder="1"/>
    <xf numFmtId="166" fontId="0" fillId="0" borderId="0" xfId="0" applyNumberFormat="1" applyFill="1" applyBorder="1"/>
    <xf numFmtId="0" fontId="0" fillId="0" borderId="5" xfId="0" applyFill="1" applyBorder="1"/>
    <xf numFmtId="10" fontId="0" fillId="0" borderId="0" xfId="0" applyNumberFormat="1" applyFill="1" applyBorder="1" applyAlignment="1">
      <alignment wrapText="1"/>
    </xf>
    <xf numFmtId="10" fontId="0" fillId="0" borderId="0" xfId="0" applyNumberFormat="1" applyFill="1" applyBorder="1" applyAlignment="1">
      <alignment horizontal="left"/>
    </xf>
    <xf numFmtId="3" fontId="0" fillId="0" borderId="4" xfId="0" applyNumberFormat="1" applyFill="1" applyBorder="1" applyAlignment="1">
      <alignment horizontal="center"/>
    </xf>
    <xf numFmtId="10" fontId="0" fillId="0" borderId="0" xfId="2" applyNumberFormat="1" applyFont="1" applyFill="1" applyBorder="1"/>
    <xf numFmtId="0" fontId="0" fillId="0" borderId="0" xfId="0" applyFill="1" applyBorder="1"/>
    <xf numFmtId="10" fontId="0" fillId="0" borderId="0" xfId="0" applyNumberFormat="1" applyFill="1" applyBorder="1"/>
    <xf numFmtId="10" fontId="0" fillId="0" borderId="0" xfId="2" applyNumberFormat="1" applyFont="1" applyFill="1" applyBorder="1" applyAlignment="1"/>
    <xf numFmtId="0" fontId="0" fillId="0" borderId="5" xfId="0" applyBorder="1"/>
    <xf numFmtId="10" fontId="0" fillId="4" borderId="0" xfId="0" applyNumberFormat="1" applyFill="1"/>
    <xf numFmtId="10" fontId="0" fillId="4" borderId="0" xfId="2" applyNumberFormat="1" applyFont="1" applyFill="1" applyAlignment="1">
      <alignment wrapText="1"/>
    </xf>
    <xf numFmtId="164" fontId="3" fillId="0" borderId="0" xfId="3" applyNumberFormat="1"/>
    <xf numFmtId="0" fontId="5" fillId="3" borderId="0" xfId="0" applyFont="1" applyFill="1" applyBorder="1" applyAlignment="1">
      <alignment horizontal="center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0" fillId="0" borderId="0" xfId="0" applyFont="1" applyAlignment="1">
      <alignment horizontal="center"/>
    </xf>
    <xf numFmtId="0" fontId="5" fillId="0" borderId="0" xfId="0" applyFont="1" applyAlignment="1">
      <alignment horizontal="center" wrapText="1"/>
    </xf>
    <xf numFmtId="0" fontId="0" fillId="2" borderId="0" xfId="0" applyFill="1" applyAlignment="1">
      <alignment horizontal="center"/>
    </xf>
    <xf numFmtId="0" fontId="7" fillId="0" borderId="0" xfId="0" applyFont="1" applyAlignment="1">
      <alignment horizontal="center"/>
    </xf>
    <xf numFmtId="0" fontId="2" fillId="0" borderId="0" xfId="3" applyFont="1" applyAlignment="1">
      <alignment horizontal="center"/>
    </xf>
    <xf numFmtId="0" fontId="3" fillId="0" borderId="0" xfId="3" applyAlignment="1">
      <alignment horizontal="center"/>
    </xf>
    <xf numFmtId="0" fontId="8" fillId="0" borderId="0" xfId="3" applyFont="1" applyAlignment="1">
      <alignment horizontal="left" vertical="center" wrapText="1"/>
    </xf>
    <xf numFmtId="9" fontId="9" fillId="0" borderId="0" xfId="0" applyNumberFormat="1" applyFont="1" applyAlignment="1">
      <alignment horizontal="center"/>
    </xf>
    <xf numFmtId="10" fontId="10" fillId="0" borderId="0" xfId="0" applyNumberFormat="1" applyFont="1"/>
    <xf numFmtId="9" fontId="9" fillId="0" borderId="0" xfId="2" applyFont="1" applyFill="1"/>
    <xf numFmtId="0" fontId="5" fillId="3" borderId="4" xfId="0" applyFont="1" applyFill="1" applyBorder="1" applyAlignment="1">
      <alignment horizontal="left"/>
    </xf>
    <xf numFmtId="0" fontId="5" fillId="3" borderId="1" xfId="0" applyFont="1" applyFill="1" applyBorder="1" applyAlignment="1">
      <alignment horizontal="left" wrapText="1"/>
    </xf>
    <xf numFmtId="0" fontId="5" fillId="3" borderId="2" xfId="0" applyFont="1" applyFill="1" applyBorder="1" applyAlignment="1">
      <alignment horizontal="left" wrapText="1"/>
    </xf>
  </cellXfs>
  <cellStyles count="4">
    <cellStyle name="Normal" xfId="0" builtinId="0"/>
    <cellStyle name="Normal 2" xfId="1" xr:uid="{00000000-0005-0000-0000-000001000000}"/>
    <cellStyle name="Normal 3" xfId="3" xr:uid="{00000000-0005-0000-0000-000002000000}"/>
    <cellStyle name="Percent" xfId="2" builtinId="5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160020</xdr:rowOff>
    </xdr:from>
    <xdr:to>
      <xdr:col>11</xdr:col>
      <xdr:colOff>513640</xdr:colOff>
      <xdr:row>18</xdr:row>
      <xdr:rowOff>58694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257300"/>
          <a:ext cx="7219240" cy="209323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6"/>
  <sheetViews>
    <sheetView workbookViewId="0">
      <selection activeCell="F5" sqref="F5"/>
    </sheetView>
  </sheetViews>
  <sheetFormatPr defaultRowHeight="15" x14ac:dyDescent="0.25"/>
  <sheetData>
    <row r="1" spans="1:4" ht="14.45" customHeight="1" x14ac:dyDescent="0.25">
      <c r="A1" s="42" t="s">
        <v>22</v>
      </c>
      <c r="B1" s="42"/>
      <c r="C1" s="42"/>
      <c r="D1" s="42"/>
    </row>
    <row r="2" spans="1:4" x14ac:dyDescent="0.25">
      <c r="A2" s="42"/>
      <c r="B2" s="42"/>
      <c r="C2" s="42"/>
      <c r="D2" s="42"/>
    </row>
    <row r="3" spans="1:4" x14ac:dyDescent="0.25">
      <c r="A3" s="42"/>
      <c r="B3" s="42"/>
      <c r="C3" s="42"/>
      <c r="D3" s="42"/>
    </row>
    <row r="4" spans="1:4" x14ac:dyDescent="0.25">
      <c r="A4" s="42"/>
      <c r="B4" s="42"/>
      <c r="C4" s="42"/>
      <c r="D4" s="42"/>
    </row>
    <row r="5" spans="1:4" x14ac:dyDescent="0.25">
      <c r="A5" s="42"/>
      <c r="B5" s="42"/>
      <c r="C5" s="42"/>
      <c r="D5" s="42"/>
    </row>
    <row r="6" spans="1:4" x14ac:dyDescent="0.25">
      <c r="A6" s="42"/>
      <c r="B6" s="42"/>
      <c r="C6" s="42"/>
      <c r="D6" s="42"/>
    </row>
  </sheetData>
  <mergeCells count="1">
    <mergeCell ref="A1:D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O1034"/>
  <sheetViews>
    <sheetView showGridLines="0" tabSelected="1" topLeftCell="A8" zoomScale="115" zoomScaleNormal="115" workbookViewId="0">
      <selection activeCell="A22" sqref="A22:C22"/>
    </sheetView>
  </sheetViews>
  <sheetFormatPr defaultColWidth="12.85546875" defaultRowHeight="15" x14ac:dyDescent="0.25"/>
  <cols>
    <col min="5" max="5" width="31.5703125" customWidth="1"/>
    <col min="6" max="6" width="12.85546875" style="3"/>
  </cols>
  <sheetData>
    <row r="1" spans="1:15" ht="18.75" x14ac:dyDescent="0.3">
      <c r="A1" s="47" t="s">
        <v>14</v>
      </c>
      <c r="B1" s="47"/>
      <c r="C1" s="47"/>
      <c r="D1" s="47"/>
      <c r="E1" s="47"/>
      <c r="F1" s="47"/>
      <c r="G1" s="47"/>
      <c r="H1" s="47"/>
      <c r="I1" s="47"/>
      <c r="J1" s="47"/>
    </row>
    <row r="2" spans="1:15" ht="14.45" customHeight="1" x14ac:dyDescent="0.3">
      <c r="A2" s="46" t="s">
        <v>7</v>
      </c>
      <c r="B2" s="46"/>
      <c r="C2" s="46"/>
      <c r="D2" s="13"/>
      <c r="E2" s="13"/>
      <c r="G2" s="46" t="s">
        <v>21</v>
      </c>
      <c r="H2" s="46"/>
      <c r="I2" s="46"/>
      <c r="J2" s="46"/>
    </row>
    <row r="3" spans="1:15" s="3" customFormat="1" ht="14.45" customHeight="1" x14ac:dyDescent="0.25">
      <c r="A3" s="51">
        <v>0.05</v>
      </c>
      <c r="B3" s="51">
        <v>0.02</v>
      </c>
      <c r="C3" s="51">
        <v>0.04</v>
      </c>
      <c r="D3" s="6"/>
      <c r="E3" s="6"/>
      <c r="G3" s="44" t="s">
        <v>19</v>
      </c>
      <c r="H3" s="44"/>
      <c r="I3" s="44"/>
      <c r="J3" s="45" t="s">
        <v>20</v>
      </c>
    </row>
    <row r="4" spans="1:15" ht="14.45" customHeight="1" x14ac:dyDescent="0.3">
      <c r="A4" s="13"/>
      <c r="B4" s="13"/>
      <c r="C4" s="13"/>
      <c r="D4" s="13"/>
      <c r="E4" s="13"/>
      <c r="G4" s="3" t="s">
        <v>16</v>
      </c>
      <c r="H4" s="3" t="s">
        <v>17</v>
      </c>
      <c r="I4" s="3" t="s">
        <v>18</v>
      </c>
      <c r="J4" s="45"/>
      <c r="L4" s="43" t="s">
        <v>26</v>
      </c>
      <c r="M4" s="43"/>
      <c r="N4" s="43"/>
      <c r="O4" s="43"/>
    </row>
    <row r="5" spans="1:15" s="3" customFormat="1" ht="14.45" customHeight="1" x14ac:dyDescent="0.25">
      <c r="A5" s="46" t="s">
        <v>8</v>
      </c>
      <c r="B5" s="46"/>
      <c r="C5" s="46"/>
      <c r="D5" s="9"/>
      <c r="E5" s="2"/>
      <c r="F5" s="6">
        <v>1</v>
      </c>
      <c r="G5" s="4">
        <f t="array" aca="1" ref="G5:I5" ca="1">corrnormal($A$9:$C$11)+$A$6:$C$6</f>
        <v>1.7906262070683073E-2</v>
      </c>
      <c r="H5" s="4">
        <f ca="1"/>
        <v>1.0448245438551414E-2</v>
      </c>
      <c r="I5" s="4">
        <f ca="1"/>
        <v>-3.0509663744842431E-3</v>
      </c>
      <c r="J5" s="11">
        <f t="array" aca="1" ref="J5" ca="1">SUMPRODUCT(G5:I5,$A$14:$C$14)+$A$6:$C$6</f>
        <v>9.1379466433254147E-3</v>
      </c>
      <c r="L5" s="43"/>
      <c r="M5" s="43"/>
      <c r="N5" s="43"/>
      <c r="O5" s="43"/>
    </row>
    <row r="6" spans="1:15" s="3" customFormat="1" x14ac:dyDescent="0.25">
      <c r="A6" s="52">
        <f>A3/250</f>
        <v>2.0000000000000001E-4</v>
      </c>
      <c r="B6" s="52">
        <f>B3/250</f>
        <v>8.0000000000000007E-5</v>
      </c>
      <c r="C6" s="52">
        <f>C3/250</f>
        <v>1.6000000000000001E-4</v>
      </c>
      <c r="D6" s="5" t="str">
        <f ca="1">getformula(C6)</f>
        <v>&lt;--  =C3/250</v>
      </c>
      <c r="E6" s="2"/>
      <c r="F6" s="6">
        <v>2</v>
      </c>
      <c r="G6" s="4">
        <f t="array" aca="1" ref="G6:I6" ca="1">corrnormal($A$9:$C$11)+$A$6:$C$6</f>
        <v>5.0845647380183944E-3</v>
      </c>
      <c r="H6" s="4">
        <f ca="1"/>
        <v>2.1912989155038268E-3</v>
      </c>
      <c r="I6" s="4">
        <f ca="1"/>
        <v>-1.0029942823946778E-3</v>
      </c>
      <c r="J6" s="11">
        <f t="array" aca="1" ref="J6" ca="1">SUMPRODUCT(G6:I6,$A$14:$C$14)+$A$6:$C$6+J5</f>
        <v>1.1453988714983258E-2</v>
      </c>
      <c r="L6" s="43"/>
      <c r="M6" s="43"/>
      <c r="N6" s="43"/>
      <c r="O6" s="43"/>
    </row>
    <row r="7" spans="1:15" s="3" customFormat="1" x14ac:dyDescent="0.25">
      <c r="A7" s="2"/>
      <c r="B7" s="2"/>
      <c r="C7" s="2"/>
      <c r="D7" s="2"/>
      <c r="E7" s="2"/>
      <c r="F7" s="6">
        <v>3</v>
      </c>
      <c r="G7" s="4">
        <f t="array" aca="1" ref="G7:I7" ca="1">corrnormal($A$9:$C$11)+$A$6:$C$6</f>
        <v>2.7214795854806212E-3</v>
      </c>
      <c r="H7" s="4">
        <f ca="1"/>
        <v>4.3611888917769901E-3</v>
      </c>
      <c r="I7" s="4">
        <f ca="1"/>
        <v>5.4180776864846459E-4</v>
      </c>
      <c r="J7" s="11">
        <f t="array" aca="1" ref="J7" ca="1">SUMPRODUCT(G7:I7,$A$14:$C$14)+$A$6:$C$6+J6</f>
        <v>1.4650404999404025E-2</v>
      </c>
    </row>
    <row r="8" spans="1:15" x14ac:dyDescent="0.25">
      <c r="A8" s="46" t="s">
        <v>0</v>
      </c>
      <c r="B8" s="46"/>
      <c r="C8" s="46"/>
      <c r="D8" s="9"/>
      <c r="F8" s="6">
        <v>4</v>
      </c>
      <c r="G8" s="4">
        <f t="array" aca="1" ref="G8:I8" ca="1">corrnormal($A$9:$C$11)+$A$6:$C$6</f>
        <v>-1.2102135686084092E-2</v>
      </c>
      <c r="H8" s="4">
        <f ca="1"/>
        <v>-9.7432698574328735E-3</v>
      </c>
      <c r="I8" s="4">
        <f ca="1"/>
        <v>2.8323027244668585E-3</v>
      </c>
      <c r="J8" s="11">
        <f t="array" aca="1" ref="J8" ca="1">SUMPRODUCT(G8:I8,$A$14:$C$14)+$A$6:$C$6+J7</f>
        <v>7.6613118302832801E-3</v>
      </c>
    </row>
    <row r="9" spans="1:15" x14ac:dyDescent="0.25">
      <c r="A9" s="17">
        <f t="array" ref="A9:C11">Data!K3:M5</f>
        <v>7.1699494558154038E-5</v>
      </c>
      <c r="B9" s="17">
        <v>5.0752595045729051E-5</v>
      </c>
      <c r="C9" s="17">
        <v>-9.0384135420826924E-6</v>
      </c>
      <c r="D9" s="1"/>
      <c r="F9" s="6">
        <v>5</v>
      </c>
      <c r="G9" s="4">
        <f t="array" aca="1" ref="G9:I9" ca="1">corrnormal($A$9:$C$11)+$A$6:$C$6</f>
        <v>-3.2168550362221275E-3</v>
      </c>
      <c r="H9" s="4">
        <f ca="1"/>
        <v>-1.4606116361613301E-3</v>
      </c>
      <c r="I9" s="4">
        <f ca="1"/>
        <v>2.0082443886458991E-3</v>
      </c>
      <c r="J9" s="11">
        <f t="array" aca="1" ref="J9" ca="1">SUMPRODUCT(G9:I9,$A$14:$C$14)+$A$6:$C$6+J8</f>
        <v>6.8288533503085575E-3</v>
      </c>
    </row>
    <row r="10" spans="1:15" x14ac:dyDescent="0.25">
      <c r="A10" s="17">
        <v>5.0752595045729051E-5</v>
      </c>
      <c r="B10" s="17">
        <v>4.069874585100621E-5</v>
      </c>
      <c r="C10" s="17">
        <v>-5.9897970938645836E-6</v>
      </c>
      <c r="D10" s="1"/>
      <c r="F10" s="6">
        <v>6</v>
      </c>
      <c r="G10" s="4">
        <f t="array" aca="1" ref="G10:I10" ca="1">corrnormal($A$9:$C$11)+$A$6:$C$6</f>
        <v>-4.4924000193808464E-3</v>
      </c>
      <c r="H10" s="4">
        <f ca="1"/>
        <v>-2.7867768511252908E-3</v>
      </c>
      <c r="I10" s="4">
        <f ca="1"/>
        <v>2.0597059793300699E-3</v>
      </c>
      <c r="J10" s="11">
        <f t="array" aca="1" ref="J10" ca="1">SUMPRODUCT(G10:I10,$A$14:$C$14)+$A$6:$C$6+J9</f>
        <v>5.027291414733218E-3</v>
      </c>
    </row>
    <row r="11" spans="1:15" x14ac:dyDescent="0.25">
      <c r="A11" s="17">
        <v>-9.0384135420826924E-6</v>
      </c>
      <c r="B11" s="17">
        <v>-5.9897970938645836E-6</v>
      </c>
      <c r="C11" s="17">
        <v>2.800084432331513E-6</v>
      </c>
      <c r="D11" s="1"/>
      <c r="F11" s="6">
        <v>7</v>
      </c>
      <c r="G11" s="4">
        <f t="array" aca="1" ref="G11:I11" ca="1">corrnormal($A$9:$C$11)+$A$6:$C$6</f>
        <v>1.2843458150063235E-2</v>
      </c>
      <c r="H11" s="4">
        <f ca="1"/>
        <v>7.6748183510601947E-3</v>
      </c>
      <c r="I11" s="4">
        <f ca="1"/>
        <v>-1.5216958835211119E-3</v>
      </c>
      <c r="J11" s="11">
        <f t="array" aca="1" ref="J11" ca="1">SUMPRODUCT(G11:I11,$A$14:$C$14)+$A$6:$C$6+J10</f>
        <v>1.1895141156898846E-2</v>
      </c>
    </row>
    <row r="12" spans="1:15" x14ac:dyDescent="0.25">
      <c r="A12" s="1"/>
      <c r="B12" s="1"/>
      <c r="C12" s="1"/>
      <c r="D12" s="1"/>
      <c r="F12" s="6">
        <v>8</v>
      </c>
      <c r="G12" s="4">
        <f t="array" aca="1" ref="G12:I12" ca="1">corrnormal($A$9:$C$11)+$A$6:$C$6</f>
        <v>-6.8538168258745306E-3</v>
      </c>
      <c r="H12" s="4">
        <f ca="1"/>
        <v>-7.5119884477962539E-3</v>
      </c>
      <c r="I12" s="4">
        <f ca="1"/>
        <v>1.381311164827404E-3</v>
      </c>
      <c r="J12" s="11">
        <f t="array" aca="1" ref="J12" ca="1">SUMPRODUCT(G12:I12,$A$14:$C$14)+$A$6:$C$6+J11</f>
        <v>6.9710205177389373E-3</v>
      </c>
    </row>
    <row r="13" spans="1:15" x14ac:dyDescent="0.25">
      <c r="A13" s="46" t="s">
        <v>2</v>
      </c>
      <c r="B13" s="46"/>
      <c r="C13" s="46"/>
      <c r="F13" s="6">
        <v>9</v>
      </c>
      <c r="G13" s="4">
        <f t="array" aca="1" ref="G13:I13" ca="1">corrnormal($A$9:$C$11)+$A$6:$C$6</f>
        <v>-9.5598081180353796E-3</v>
      </c>
      <c r="H13" s="4">
        <f ca="1"/>
        <v>-5.3068446488541785E-3</v>
      </c>
      <c r="I13" s="4">
        <f ca="1"/>
        <v>1.41669998213135E-3</v>
      </c>
      <c r="J13" s="11">
        <f t="array" aca="1" ref="J13" ca="1">SUMPRODUCT(G13:I13,$A$14:$C$14)+$A$6:$C$6+J12</f>
        <v>2.48182115933584E-3</v>
      </c>
    </row>
    <row r="14" spans="1:15" x14ac:dyDescent="0.25">
      <c r="A14" s="53">
        <v>0.25</v>
      </c>
      <c r="B14" s="53">
        <v>0.5</v>
      </c>
      <c r="C14" s="53">
        <f>1-A14-B14</f>
        <v>0.25</v>
      </c>
      <c r="D14" s="9"/>
      <c r="F14" s="6">
        <v>10</v>
      </c>
      <c r="G14" s="4">
        <f t="array" aca="1" ref="G14:I14" ca="1">corrnormal($A$9:$C$11)+$A$6:$C$6</f>
        <v>1.0898711358627235E-3</v>
      </c>
      <c r="H14" s="4">
        <f ca="1"/>
        <v>3.2789212077431475E-3</v>
      </c>
      <c r="I14" s="4">
        <f ca="1"/>
        <v>-1.0015355134053599E-3</v>
      </c>
      <c r="J14" s="11">
        <f t="array" aca="1" ref="J14" ca="1">SUMPRODUCT(G14:I14,$A$14:$C$14)+$A$6:$C$6+J13</f>
        <v>4.343365668821755E-3</v>
      </c>
    </row>
    <row r="15" spans="1:15" x14ac:dyDescent="0.25">
      <c r="A15" s="9"/>
      <c r="B15" s="9"/>
      <c r="C15" s="9"/>
      <c r="D15" s="10"/>
      <c r="E15" s="7"/>
      <c r="F15" s="6">
        <v>11</v>
      </c>
      <c r="G15" s="4">
        <f t="array" aca="1" ref="G15:I15" ca="1">corrnormal($A$9:$C$11)+$A$6:$C$6</f>
        <v>1.9417616492387354E-3</v>
      </c>
      <c r="H15" s="4">
        <f ca="1"/>
        <v>1.8816468488807097E-3</v>
      </c>
      <c r="I15" s="4">
        <f ca="1"/>
        <v>-1.6974260584665529E-3</v>
      </c>
      <c r="J15" s="11">
        <f t="array" aca="1" ref="J15" ca="1">SUMPRODUCT(G15:I15,$A$14:$C$14)+$A$6:$C$6+J14</f>
        <v>5.5452729909551551E-3</v>
      </c>
    </row>
    <row r="16" spans="1:15" x14ac:dyDescent="0.25">
      <c r="A16" s="46" t="s">
        <v>3</v>
      </c>
      <c r="B16" s="46"/>
      <c r="C16" s="46"/>
      <c r="D16" s="9"/>
      <c r="E16" s="7"/>
      <c r="F16" s="6">
        <v>12</v>
      </c>
      <c r="G16" s="4">
        <f t="array" aca="1" ref="G16:I16" ca="1">corrnormal($A$9:$C$11)+$A$6:$C$6</f>
        <v>-8.6514955446816543E-3</v>
      </c>
      <c r="H16" s="4">
        <f ca="1"/>
        <v>-3.9847224227743871E-3</v>
      </c>
      <c r="I16" s="4">
        <f ca="1"/>
        <v>2.8700752025474811E-3</v>
      </c>
      <c r="J16" s="11">
        <f t="array" aca="1" ref="J16" ca="1">SUMPRODUCT(G16:I16,$A$14:$C$14)+$A$6:$C$6+J15</f>
        <v>2.3075566940344186E-3</v>
      </c>
    </row>
    <row r="17" spans="1:10" x14ac:dyDescent="0.25">
      <c r="A17" s="8" t="s">
        <v>4</v>
      </c>
      <c r="B17" s="12">
        <f ca="1">AVERAGE(J:J)</f>
        <v>1.0854349858982308E-2</v>
      </c>
      <c r="C17" s="23" t="str">
        <f t="shared" ref="C17:C19" ca="1" si="0">_xlfn.FORMULATEXT(B17)</f>
        <v>=AVERAGE(J:J)</v>
      </c>
      <c r="D17" s="9"/>
      <c r="E17" s="7"/>
      <c r="F17" s="6">
        <v>13</v>
      </c>
      <c r="G17" s="4">
        <f t="array" aca="1" ref="G17:I17" ca="1">corrnormal($A$9:$C$11)+$A$6:$C$6</f>
        <v>-4.7136228805152204E-3</v>
      </c>
      <c r="H17" s="4">
        <f ca="1"/>
        <v>-1.6590396431989814E-3</v>
      </c>
      <c r="I17" s="4">
        <f ca="1"/>
        <v>2.4286920514018802E-3</v>
      </c>
      <c r="J17" s="11">
        <f t="array" aca="1" ref="J17" ca="1">SUMPRODUCT(G17:I17,$A$14:$C$14)+$A$6:$C$6+J16</f>
        <v>1.1068041651565931E-3</v>
      </c>
    </row>
    <row r="18" spans="1:10" x14ac:dyDescent="0.25">
      <c r="A18" s="7" t="s">
        <v>5</v>
      </c>
      <c r="B18" s="12">
        <f ca="1">_xlfn.STDEV.S(J:J)</f>
        <v>6.8404981047419369E-3</v>
      </c>
      <c r="C18" s="23" t="str">
        <f t="shared" ca="1" si="0"/>
        <v>=STDEV.S(J:J)</v>
      </c>
      <c r="D18" s="8"/>
      <c r="E18" s="7"/>
      <c r="F18" s="6">
        <v>14</v>
      </c>
      <c r="G18" s="4">
        <f t="array" aca="1" ref="G18:I18" ca="1">corrnormal($A$9:$C$11)+$A$6:$C$6</f>
        <v>8.6055924920302208E-3</v>
      </c>
      <c r="H18" s="4">
        <f ca="1"/>
        <v>7.3768507871891801E-3</v>
      </c>
      <c r="I18" s="4">
        <f ca="1"/>
        <v>-9.880293940230417E-4</v>
      </c>
      <c r="J18" s="11">
        <f t="array" aca="1" ref="J18" ca="1">SUMPRODUCT(G18:I18,$A$14:$C$14)+$A$6:$C$6+J17</f>
        <v>6.8996203332529777E-3</v>
      </c>
    </row>
    <row r="19" spans="1:10" x14ac:dyDescent="0.25">
      <c r="A19" s="9" t="s">
        <v>13</v>
      </c>
      <c r="B19" s="38">
        <f ca="1">J34</f>
        <v>1.2378431545788895E-2</v>
      </c>
      <c r="C19" s="23" t="str">
        <f t="shared" ca="1" si="0"/>
        <v>=J34</v>
      </c>
      <c r="D19" s="7"/>
      <c r="E19" s="7"/>
      <c r="F19" s="6">
        <v>15</v>
      </c>
      <c r="G19" s="4">
        <f t="array" aca="1" ref="G19:I19" ca="1">corrnormal($A$9:$C$11)+$A$6:$C$6</f>
        <v>-1.6207351451725167E-3</v>
      </c>
      <c r="H19" s="4">
        <f ca="1"/>
        <v>-3.9319408228532856E-3</v>
      </c>
      <c r="I19" s="4">
        <f ca="1"/>
        <v>-1.7173318844424055E-5</v>
      </c>
      <c r="J19" s="11">
        <f t="array" aca="1" ref="J19" ca="1">SUMPRODUCT(G19:I19,$A$14:$C$14)+$A$6:$C$6+J18</f>
        <v>4.7241728058221005E-3</v>
      </c>
    </row>
    <row r="20" spans="1:10" x14ac:dyDescent="0.25">
      <c r="D20" s="9"/>
      <c r="E20" s="7"/>
      <c r="F20" s="6">
        <v>16</v>
      </c>
      <c r="G20" s="4">
        <f t="array" aca="1" ref="G20:I20" ca="1">corrnormal($A$9:$C$11)+$A$6:$C$6</f>
        <v>-7.0653556645666029E-3</v>
      </c>
      <c r="H20" s="4">
        <f ca="1"/>
        <v>-5.9549089783889047E-3</v>
      </c>
      <c r="I20" s="4">
        <f ca="1"/>
        <v>1.8978370620442676E-3</v>
      </c>
      <c r="J20" s="11">
        <f t="array" aca="1" ref="J20" ca="1">SUMPRODUCT(G20:I20,$A$14:$C$14)+$A$6:$C$6+J19</f>
        <v>6.5483866599706439E-4</v>
      </c>
    </row>
    <row r="21" spans="1:10" x14ac:dyDescent="0.25">
      <c r="A21" s="9"/>
      <c r="B21" s="9"/>
      <c r="C21" s="9"/>
      <c r="D21" s="9"/>
      <c r="E21" s="7"/>
      <c r="F21" s="6">
        <v>17</v>
      </c>
      <c r="G21" s="4">
        <f t="array" aca="1" ref="G21:I21" ca="1">corrnormal($A$9:$C$11)+$A$6:$C$6</f>
        <v>1.4092079195611201E-2</v>
      </c>
      <c r="H21" s="4">
        <f ca="1"/>
        <v>9.0674962657932151E-3</v>
      </c>
      <c r="I21" s="4">
        <f ca="1"/>
        <v>-1.5011471250647097E-3</v>
      </c>
      <c r="J21" s="11">
        <f t="array" aca="1" ref="J21" ca="1">SUMPRODUCT(G21:I21,$A$14:$C$14)+$A$6:$C$6+J20</f>
        <v>8.5363198165302953E-3</v>
      </c>
    </row>
    <row r="22" spans="1:10" ht="14.45" customHeight="1" x14ac:dyDescent="0.25">
      <c r="A22" s="55" t="s">
        <v>15</v>
      </c>
      <c r="B22" s="56"/>
      <c r="C22" s="56"/>
      <c r="D22" s="19"/>
      <c r="E22" s="20"/>
      <c r="F22" s="6">
        <v>18</v>
      </c>
      <c r="G22" s="4">
        <f t="array" aca="1" ref="G22:I22" ca="1">corrnormal($A$9:$C$11)+$A$6:$C$6</f>
        <v>-3.8242105155249606E-3</v>
      </c>
      <c r="H22" s="4">
        <f ca="1"/>
        <v>3.9762223258835738E-5</v>
      </c>
      <c r="I22" s="4">
        <f ca="1"/>
        <v>2.813787474447395E-5</v>
      </c>
      <c r="J22" s="11">
        <f t="array" aca="1" ref="J22" ca="1">SUMPRODUCT(G22:I22,$A$14:$C$14)+$A$6:$C$6+J21</f>
        <v>7.8071827679645914E-3</v>
      </c>
    </row>
    <row r="23" spans="1:10" ht="17.45" customHeight="1" x14ac:dyDescent="0.25">
      <c r="A23" s="21" t="s">
        <v>6</v>
      </c>
      <c r="B23" s="22">
        <f>MIN(B31:B1030)</f>
        <v>-7.7281474877488945E-2</v>
      </c>
      <c r="C23" s="23" t="str">
        <f ca="1">_xlfn.FORMULATEXT(B23)</f>
        <v>=MIN(B31:B1030)</v>
      </c>
      <c r="D23" s="24"/>
      <c r="E23" s="25"/>
      <c r="F23" s="6">
        <v>19</v>
      </c>
      <c r="G23" s="4">
        <f t="array" aca="1" ref="G23:I23" ca="1">corrnormal($A$9:$C$11)+$A$6:$C$6</f>
        <v>4.8048050684069794E-3</v>
      </c>
      <c r="H23" s="4">
        <f ca="1"/>
        <v>-2.2989908322848421E-4</v>
      </c>
      <c r="I23" s="4">
        <f ca="1"/>
        <v>-1.7424085648653862E-3</v>
      </c>
      <c r="J23" s="11">
        <f t="array" aca="1" ref="J23" ca="1">SUMPRODUCT(G23:I23,$A$14:$C$14)+$A$6:$C$6+J22</f>
        <v>8.6578323522357482E-3</v>
      </c>
    </row>
    <row r="24" spans="1:10" ht="14.45" customHeight="1" x14ac:dyDescent="0.25">
      <c r="A24" s="21" t="s">
        <v>27</v>
      </c>
      <c r="B24" s="27">
        <f>AVERAGE($B$31:$B$1030)</f>
        <v>9.7641445913161512E-3</v>
      </c>
      <c r="C24" s="23" t="str">
        <f ca="1">_xlfn.FORMULATEXT(B24)</f>
        <v>=AVERAGE($B$31:$B$1030)</v>
      </c>
      <c r="D24" s="28"/>
      <c r="E24" s="25"/>
      <c r="F24" s="6">
        <v>20</v>
      </c>
      <c r="G24" s="4">
        <f t="array" aca="1" ref="G24:I24" ca="1">corrnormal($A$9:$C$11)+$A$6:$C$6</f>
        <v>1.1918908332535132E-2</v>
      </c>
      <c r="H24" s="4">
        <f ca="1"/>
        <v>7.4830786840635929E-3</v>
      </c>
      <c r="I24" s="4">
        <f ca="1"/>
        <v>-1.9559504847005272E-3</v>
      </c>
      <c r="J24" s="11">
        <f t="array" aca="1" ref="J24" ca="1">SUMPRODUCT(G24:I24,$A$14:$C$14)+$A$6:$C$6+J23</f>
        <v>1.5090111156226195E-2</v>
      </c>
    </row>
    <row r="25" spans="1:10" x14ac:dyDescent="0.25">
      <c r="A25" s="21" t="s">
        <v>28</v>
      </c>
      <c r="B25" s="27">
        <f>_xlfn.PERCENTILE.INC($B$31:$B$1030,0.05)</f>
        <v>-3.3428241233397313E-2</v>
      </c>
      <c r="C25" s="23" t="str">
        <f ca="1">_xlfn.FORMULATEXT(B25)</f>
        <v>=PERCENTILE.INC($B$31:$B$1030,0.05)</v>
      </c>
      <c r="D25" s="28"/>
      <c r="E25" s="25"/>
      <c r="F25" s="6">
        <v>21</v>
      </c>
      <c r="G25" s="4">
        <f t="array" aca="1" ref="G25:I25" ca="1">corrnormal($A$9:$C$11)+$A$6:$C$6</f>
        <v>9.8852957800294253E-3</v>
      </c>
      <c r="H25" s="4">
        <f ca="1"/>
        <v>5.007916055644563E-3</v>
      </c>
      <c r="I25" s="4">
        <f ca="1"/>
        <v>-7.8760772003501551E-4</v>
      </c>
      <c r="J25" s="11">
        <f t="array" aca="1" ref="J25" ca="1">SUMPRODUCT(G25:I25,$A$14:$C$14)+$A$6:$C$6+J24</f>
        <v>2.0068491199047078E-2</v>
      </c>
    </row>
    <row r="26" spans="1:10" x14ac:dyDescent="0.25">
      <c r="A26" s="21" t="s">
        <v>29</v>
      </c>
      <c r="B26" s="27">
        <f>COUNTIF($B$31:$B$1030,"&lt;0")/COUNT($B$31:$B$1030)</f>
        <v>0.38100000000000001</v>
      </c>
      <c r="C26" s="23" t="str">
        <f ca="1">_xlfn.FORMULATEXT(B26)</f>
        <v>=COUNTIF($B$31:$B$1030,"&lt;0")/COUNT($B$31:$B$1030)</v>
      </c>
      <c r="D26" s="28"/>
      <c r="E26" s="25"/>
      <c r="F26" s="6">
        <v>22</v>
      </c>
      <c r="G26" s="4">
        <f t="array" aca="1" ref="G26:I26" ca="1">corrnormal($A$9:$C$11)+$A$6:$C$6</f>
        <v>1.5180568765758692E-3</v>
      </c>
      <c r="H26" s="4">
        <f ca="1"/>
        <v>1.9986277305511935E-3</v>
      </c>
      <c r="I26" s="4">
        <f ca="1"/>
        <v>3.7327161389526025E-4</v>
      </c>
      <c r="J26" s="11">
        <f t="array" aca="1" ref="J26" ca="1">SUMPRODUCT(G26:I26,$A$14:$C$14)+$A$6:$C$6+J25</f>
        <v>2.1740637186940456E-2</v>
      </c>
    </row>
    <row r="27" spans="1:10" x14ac:dyDescent="0.25">
      <c r="A27" s="21" t="s">
        <v>30</v>
      </c>
      <c r="B27" s="27">
        <f>AVERAGEIF($B$31:$B$1030,"&lt;"&amp;B25)</f>
        <v>-4.642908953097722E-2</v>
      </c>
      <c r="C27" s="23" t="str">
        <f ca="1">_xlfn.FORMULATEXT(B27)</f>
        <v>=AVERAGEIF($B$31:$B$1030,"&lt;"&amp;B25)</v>
      </c>
      <c r="D27" s="28"/>
      <c r="E27" s="25"/>
      <c r="F27" s="6">
        <v>23</v>
      </c>
      <c r="G27" s="4">
        <f t="array" aca="1" ref="G27:I27" ca="1">corrnormal($A$9:$C$11)+$A$6:$C$6</f>
        <v>-5.5776514279742206E-3</v>
      </c>
      <c r="H27" s="4">
        <f ca="1"/>
        <v>-5.8380549826422181E-3</v>
      </c>
      <c r="I27" s="4">
        <f ca="1"/>
        <v>9.5463026176898598E-4</v>
      </c>
      <c r="J27" s="11">
        <f t="array" aca="1" ref="J27" ca="1">SUMPRODUCT(G27:I27,$A$14:$C$14)+$A$6:$C$6+J26</f>
        <v>1.786585440406804E-2</v>
      </c>
    </row>
    <row r="28" spans="1:10" x14ac:dyDescent="0.25">
      <c r="A28" s="21"/>
      <c r="B28" s="26"/>
      <c r="C28" s="28"/>
      <c r="D28" s="28"/>
      <c r="E28" s="29"/>
      <c r="F28" s="6">
        <v>24</v>
      </c>
      <c r="G28" s="4">
        <f t="array" aca="1" ref="G28:I28" ca="1">corrnormal($A$9:$C$11)+$A$6:$C$6</f>
        <v>5.001228047647968E-3</v>
      </c>
      <c r="H28" s="4">
        <f ca="1"/>
        <v>4.7420063733281679E-3</v>
      </c>
      <c r="I28" s="4">
        <f ca="1"/>
        <v>8.5381612377017128E-4</v>
      </c>
      <c r="J28" s="11">
        <f t="array" aca="1" ref="J28" ca="1">SUMPRODUCT(G28:I28,$A$14:$C$14)+$A$6:$C$6+J27</f>
        <v>2.1900618633586659E-2</v>
      </c>
    </row>
    <row r="29" spans="1:10" x14ac:dyDescent="0.25">
      <c r="A29" s="54" t="s">
        <v>12</v>
      </c>
      <c r="B29" s="41"/>
      <c r="C29" s="41"/>
      <c r="D29" s="26"/>
      <c r="E29" s="29"/>
      <c r="F29" s="6">
        <v>25</v>
      </c>
      <c r="G29" s="4">
        <f t="array" aca="1" ref="G29:I29" ca="1">corrnormal($A$9:$C$11)+$A$6:$C$6</f>
        <v>-5.1352057728495486E-3</v>
      </c>
      <c r="H29" s="4">
        <f ca="1"/>
        <v>-4.2062833378442343E-3</v>
      </c>
      <c r="I29" s="4">
        <f ca="1"/>
        <v>-3.804347427135181E-4</v>
      </c>
      <c r="J29" s="11">
        <f t="array" aca="1" ref="J29" ca="1">SUMPRODUCT(G29:I29,$A$14:$C$14)+$A$6:$C$6+J28</f>
        <v>1.8618566835773776E-2</v>
      </c>
    </row>
    <row r="30" spans="1:10" ht="15" customHeight="1" x14ac:dyDescent="0.25">
      <c r="A30" s="21"/>
      <c r="B30" s="30">
        <f ca="1">J34</f>
        <v>1.2378431545788895E-2</v>
      </c>
      <c r="C30" s="31" t="str">
        <f ca="1">getformula(B30)&amp;", data table header"</f>
        <v>&lt;--  =J34, data table header</v>
      </c>
      <c r="D30" s="23"/>
      <c r="E30" s="29"/>
      <c r="F30" s="6">
        <v>26</v>
      </c>
      <c r="G30" s="4">
        <f t="array" aca="1" ref="G30:I30" ca="1">corrnormal($A$9:$C$11)+$A$6:$C$6</f>
        <v>-1.7868249419987593E-2</v>
      </c>
      <c r="H30" s="4">
        <f ca="1"/>
        <v>-1.1625073259092483E-2</v>
      </c>
      <c r="I30" s="4">
        <f ca="1"/>
        <v>2.2187288199226707E-3</v>
      </c>
      <c r="J30" s="11">
        <f t="array" aca="1" ref="J30" ca="1">SUMPRODUCT(G30:I30,$A$14:$C$14)+$A$6:$C$6+J29</f>
        <v>9.0936500562113047E-3</v>
      </c>
    </row>
    <row r="31" spans="1:10" x14ac:dyDescent="0.25">
      <c r="A31" s="32">
        <v>1</v>
      </c>
      <c r="B31" s="33">
        <f t="dataTable" ref="B31:B1030" dt2D="0" dtr="0" r1="E19" ca="1"/>
        <v>-2.920636483450495E-2</v>
      </c>
      <c r="C31" s="26"/>
      <c r="D31" s="34"/>
      <c r="E31" s="29"/>
      <c r="F31" s="6">
        <v>27</v>
      </c>
      <c r="G31" s="4">
        <f t="array" aca="1" ref="G31:I31" ca="1">corrnormal($A$9:$C$11)+$A$6:$C$6</f>
        <v>1.0075045020524377E-2</v>
      </c>
      <c r="H31" s="4">
        <f ca="1"/>
        <v>1.0927801359216378E-2</v>
      </c>
      <c r="I31" s="4">
        <f ca="1"/>
        <v>-2.5196688837462997E-3</v>
      </c>
      <c r="J31" s="11">
        <f t="array" aca="1" ref="J31" ca="1">SUMPRODUCT(G31:I31,$A$14:$C$14)+$A$6:$C$6+J30</f>
        <v>1.6646394770014013E-2</v>
      </c>
    </row>
    <row r="32" spans="1:10" x14ac:dyDescent="0.25">
      <c r="A32" s="32">
        <v>2</v>
      </c>
      <c r="B32" s="33">
        <v>6.89332473552772E-2</v>
      </c>
      <c r="C32" s="26"/>
      <c r="D32" s="34"/>
      <c r="E32" s="29"/>
      <c r="F32" s="6">
        <v>28</v>
      </c>
      <c r="G32" s="4">
        <f t="array" aca="1" ref="G32:I32" ca="1">corrnormal($A$9:$C$11)+$A$6:$C$6</f>
        <v>9.541317706464679E-3</v>
      </c>
      <c r="H32" s="4">
        <f ca="1"/>
        <v>5.0970755613780096E-3</v>
      </c>
      <c r="I32" s="4">
        <f ca="1"/>
        <v>3.8518955767758096E-4</v>
      </c>
      <c r="J32" s="11">
        <f t="array" aca="1" ref="J32" ca="1">SUMPRODUCT(G32:I32,$A$14:$C$14)+$A$6:$C$6+J31</f>
        <v>2.1876559366738581E-2</v>
      </c>
    </row>
    <row r="33" spans="1:10" x14ac:dyDescent="0.25">
      <c r="A33" s="32">
        <v>3</v>
      </c>
      <c r="B33" s="33">
        <v>1.0002363111421608E-2</v>
      </c>
      <c r="C33" s="35"/>
      <c r="D33" s="34"/>
      <c r="E33" s="29"/>
      <c r="F33" s="6">
        <v>29</v>
      </c>
      <c r="G33" s="4">
        <f t="array" aca="1" ref="G33:I33" ca="1">corrnormal($A$9:$C$11)+$A$6:$C$6</f>
        <v>2.8932720626045471E-3</v>
      </c>
      <c r="H33" s="4">
        <f ca="1"/>
        <v>2.5908171541635574E-3</v>
      </c>
      <c r="I33" s="4">
        <f ca="1"/>
        <v>-1.7394055687174833E-3</v>
      </c>
      <c r="J33" s="11">
        <f t="array" aca="1" ref="J33" ca="1">SUMPRODUCT(G33:I33,$A$14:$C$14)+$A$6:$C$6+J32</f>
        <v>2.3660434567292124E-2</v>
      </c>
    </row>
    <row r="34" spans="1:10" x14ac:dyDescent="0.25">
      <c r="A34" s="32">
        <v>4</v>
      </c>
      <c r="B34" s="36">
        <v>7.3572692587028088E-2</v>
      </c>
      <c r="C34" s="34"/>
      <c r="D34" s="34"/>
      <c r="E34" s="29"/>
      <c r="F34" s="6">
        <v>30</v>
      </c>
      <c r="G34" s="4">
        <f t="array" aca="1" ref="G34:I34" ca="1">corrnormal($A$9:$C$11)+$A$6:$C$6</f>
        <v>-2.10611200451674E-2</v>
      </c>
      <c r="H34" s="4">
        <f ca="1"/>
        <v>-1.3661185774086159E-2</v>
      </c>
      <c r="I34" s="4">
        <f ca="1"/>
        <v>2.4554795073268051E-3</v>
      </c>
      <c r="J34" s="39">
        <f t="array" aca="1" ref="J34" ca="1">SUMPRODUCT(G34:I34,$A$14:$C$14)+$A$6:$C$6+J33</f>
        <v>1.2378431545788895E-2</v>
      </c>
    </row>
    <row r="35" spans="1:10" x14ac:dyDescent="0.25">
      <c r="A35" s="32">
        <v>5</v>
      </c>
      <c r="B35" s="33">
        <v>2.3511328523938581E-2</v>
      </c>
      <c r="C35" s="26"/>
      <c r="D35" s="34"/>
      <c r="E35" s="29"/>
      <c r="F35" s="6"/>
      <c r="G35" s="4"/>
      <c r="H35" s="4"/>
      <c r="I35" s="4"/>
      <c r="J35" s="11"/>
    </row>
    <row r="36" spans="1:10" x14ac:dyDescent="0.25">
      <c r="A36" s="32">
        <v>6</v>
      </c>
      <c r="B36" s="33">
        <v>-2.4796211875277096E-2</v>
      </c>
      <c r="C36" s="34"/>
      <c r="D36" s="26"/>
      <c r="E36" s="37"/>
      <c r="F36" s="6"/>
      <c r="G36" s="4"/>
      <c r="H36" s="4"/>
      <c r="I36" s="4"/>
      <c r="J36" s="11"/>
    </row>
    <row r="37" spans="1:10" x14ac:dyDescent="0.25">
      <c r="A37" s="32">
        <v>7</v>
      </c>
      <c r="B37" s="33">
        <v>-4.3871424385843363E-2</v>
      </c>
      <c r="C37" s="35"/>
      <c r="D37" s="26"/>
      <c r="E37" s="37"/>
      <c r="F37" s="6"/>
      <c r="G37" s="4"/>
      <c r="H37" s="4"/>
      <c r="I37" s="4"/>
      <c r="J37" s="11"/>
    </row>
    <row r="38" spans="1:10" x14ac:dyDescent="0.25">
      <c r="A38" s="32">
        <v>8</v>
      </c>
      <c r="B38" s="33">
        <v>3.8228051217867293E-2</v>
      </c>
      <c r="C38" s="33"/>
      <c r="D38" s="26"/>
      <c r="E38" s="37"/>
      <c r="F38" s="6"/>
      <c r="G38" s="4"/>
      <c r="H38" s="4"/>
      <c r="I38" s="4"/>
      <c r="J38" s="11"/>
    </row>
    <row r="39" spans="1:10" x14ac:dyDescent="0.25">
      <c r="A39" s="32">
        <v>9</v>
      </c>
      <c r="B39" s="27">
        <v>-6.4264939871582927E-3</v>
      </c>
      <c r="C39" s="33"/>
      <c r="D39" s="26"/>
      <c r="E39" s="37"/>
      <c r="F39" s="6"/>
      <c r="G39" s="4"/>
      <c r="H39" s="4"/>
      <c r="I39" s="4"/>
      <c r="J39" s="11"/>
    </row>
    <row r="40" spans="1:10" x14ac:dyDescent="0.25">
      <c r="A40" s="32">
        <v>10</v>
      </c>
      <c r="B40" s="33">
        <v>-6.232083886369616E-3</v>
      </c>
      <c r="C40" s="33"/>
      <c r="D40" s="26"/>
      <c r="E40" s="37"/>
    </row>
    <row r="41" spans="1:10" x14ac:dyDescent="0.25">
      <c r="A41" s="18">
        <v>11</v>
      </c>
      <c r="B41" s="12">
        <v>9.9989119284019171E-3</v>
      </c>
      <c r="C41" s="4"/>
    </row>
    <row r="42" spans="1:10" x14ac:dyDescent="0.25">
      <c r="A42" s="18">
        <v>12</v>
      </c>
      <c r="B42" s="12">
        <v>5.292418246067062E-2</v>
      </c>
      <c r="C42" s="4"/>
    </row>
    <row r="43" spans="1:10" x14ac:dyDescent="0.25">
      <c r="A43" s="18">
        <v>13</v>
      </c>
      <c r="B43" s="12">
        <v>-3.9258245000159071E-2</v>
      </c>
      <c r="C43" s="4"/>
      <c r="F43" s="6"/>
      <c r="G43" s="4"/>
      <c r="H43" s="4"/>
      <c r="I43" s="4"/>
      <c r="J43" s="11"/>
    </row>
    <row r="44" spans="1:10" x14ac:dyDescent="0.25">
      <c r="A44" s="18">
        <v>14</v>
      </c>
      <c r="B44" s="12">
        <v>2.2847600642904066E-2</v>
      </c>
      <c r="C44" s="4"/>
    </row>
    <row r="45" spans="1:10" x14ac:dyDescent="0.25">
      <c r="A45" s="18">
        <v>15</v>
      </c>
      <c r="B45" s="4">
        <v>-8.1168165405106994E-3</v>
      </c>
      <c r="C45" s="4"/>
    </row>
    <row r="46" spans="1:10" x14ac:dyDescent="0.25">
      <c r="A46" s="18">
        <v>16</v>
      </c>
      <c r="B46" s="4">
        <v>-2.3773613717308004E-2</v>
      </c>
      <c r="C46" s="4"/>
    </row>
    <row r="47" spans="1:10" x14ac:dyDescent="0.25">
      <c r="A47" s="18">
        <v>17</v>
      </c>
      <c r="B47" s="4">
        <v>3.6856075256612358E-2</v>
      </c>
      <c r="C47" s="4"/>
    </row>
    <row r="48" spans="1:10" x14ac:dyDescent="0.25">
      <c r="A48" s="18">
        <v>18</v>
      </c>
      <c r="B48" s="4">
        <v>1.5661658566395432E-2</v>
      </c>
      <c r="C48" s="4"/>
    </row>
    <row r="49" spans="1:3" x14ac:dyDescent="0.25">
      <c r="A49" s="18">
        <v>19</v>
      </c>
      <c r="B49" s="4">
        <v>2.5113664499385072E-2</v>
      </c>
      <c r="C49" s="4"/>
    </row>
    <row r="50" spans="1:3" x14ac:dyDescent="0.25">
      <c r="A50" s="18">
        <v>20</v>
      </c>
      <c r="B50" s="4">
        <v>-1.1470553028555694E-2</v>
      </c>
      <c r="C50" s="4"/>
    </row>
    <row r="51" spans="1:3" x14ac:dyDescent="0.25">
      <c r="A51" s="18">
        <v>21</v>
      </c>
      <c r="B51" s="4">
        <v>1.0305868580356883E-2</v>
      </c>
      <c r="C51" s="4"/>
    </row>
    <row r="52" spans="1:3" x14ac:dyDescent="0.25">
      <c r="A52" s="18">
        <v>22</v>
      </c>
      <c r="B52" s="4">
        <v>1.3152759016802018E-2</v>
      </c>
      <c r="C52" s="4"/>
    </row>
    <row r="53" spans="1:3" x14ac:dyDescent="0.25">
      <c r="A53" s="18">
        <v>23</v>
      </c>
      <c r="B53" s="4">
        <v>-4.086793108133039E-3</v>
      </c>
      <c r="C53" s="4"/>
    </row>
    <row r="54" spans="1:3" x14ac:dyDescent="0.25">
      <c r="A54" s="18">
        <v>24</v>
      </c>
      <c r="B54" s="4">
        <v>1.5984069676851783E-2</v>
      </c>
      <c r="C54" s="4"/>
    </row>
    <row r="55" spans="1:3" x14ac:dyDescent="0.25">
      <c r="A55" s="18">
        <v>25</v>
      </c>
      <c r="B55" s="4">
        <v>-2.0675381686358532E-2</v>
      </c>
      <c r="C55" s="4"/>
    </row>
    <row r="56" spans="1:3" x14ac:dyDescent="0.25">
      <c r="A56" s="18">
        <v>26</v>
      </c>
      <c r="B56" s="4">
        <v>2.2636072214871333E-2</v>
      </c>
      <c r="C56" s="4"/>
    </row>
    <row r="57" spans="1:3" x14ac:dyDescent="0.25">
      <c r="A57" s="18">
        <v>27</v>
      </c>
      <c r="B57" s="4">
        <v>2.4147180425558561E-2</v>
      </c>
      <c r="C57" s="4"/>
    </row>
    <row r="58" spans="1:3" x14ac:dyDescent="0.25">
      <c r="A58" s="18">
        <v>28</v>
      </c>
      <c r="B58" s="4">
        <v>7.2756910680485303E-3</v>
      </c>
      <c r="C58" s="4"/>
    </row>
    <row r="59" spans="1:3" x14ac:dyDescent="0.25">
      <c r="A59" s="18">
        <v>29</v>
      </c>
      <c r="B59" s="4">
        <v>4.5183365689201553E-2</v>
      </c>
      <c r="C59" s="4"/>
    </row>
    <row r="60" spans="1:3" x14ac:dyDescent="0.25">
      <c r="A60" s="18">
        <v>30</v>
      </c>
      <c r="B60" s="4">
        <v>4.9763406122315175E-2</v>
      </c>
      <c r="C60" s="4"/>
    </row>
    <row r="61" spans="1:3" x14ac:dyDescent="0.25">
      <c r="A61" s="18">
        <v>31</v>
      </c>
      <c r="B61" s="4">
        <v>9.6032359223172607E-3</v>
      </c>
      <c r="C61" s="4"/>
    </row>
    <row r="62" spans="1:3" x14ac:dyDescent="0.25">
      <c r="A62" s="18">
        <v>32</v>
      </c>
      <c r="B62" s="4">
        <v>7.3673410648297626E-3</v>
      </c>
      <c r="C62" s="4"/>
    </row>
    <row r="63" spans="1:3" x14ac:dyDescent="0.25">
      <c r="A63" s="18">
        <v>33</v>
      </c>
      <c r="B63" s="4">
        <v>2.2566973431633996E-2</v>
      </c>
    </row>
    <row r="64" spans="1:3" x14ac:dyDescent="0.25">
      <c r="A64" s="18">
        <v>34</v>
      </c>
      <c r="B64" s="4">
        <v>6.2955519672808949E-2</v>
      </c>
    </row>
    <row r="65" spans="1:2" x14ac:dyDescent="0.25">
      <c r="A65" s="18">
        <v>35</v>
      </c>
      <c r="B65" s="4">
        <v>-3.0368428662290832E-4</v>
      </c>
    </row>
    <row r="66" spans="1:2" x14ac:dyDescent="0.25">
      <c r="A66" s="18">
        <v>36</v>
      </c>
      <c r="B66" s="4">
        <v>-1.1724862895016936E-2</v>
      </c>
    </row>
    <row r="67" spans="1:2" x14ac:dyDescent="0.25">
      <c r="A67" s="18">
        <v>37</v>
      </c>
      <c r="B67" s="4">
        <v>7.048623690232487E-3</v>
      </c>
    </row>
    <row r="68" spans="1:2" x14ac:dyDescent="0.25">
      <c r="A68" s="18">
        <v>38</v>
      </c>
      <c r="B68" s="4">
        <v>4.0795996294887379E-2</v>
      </c>
    </row>
    <row r="69" spans="1:2" x14ac:dyDescent="0.25">
      <c r="A69" s="18">
        <v>39</v>
      </c>
      <c r="B69" s="4">
        <v>3.0725147711636557E-2</v>
      </c>
    </row>
    <row r="70" spans="1:2" x14ac:dyDescent="0.25">
      <c r="A70" s="18">
        <v>40</v>
      </c>
      <c r="B70" s="4">
        <v>-2.4559142190706366E-3</v>
      </c>
    </row>
    <row r="71" spans="1:2" x14ac:dyDescent="0.25">
      <c r="A71" s="18">
        <v>41</v>
      </c>
      <c r="B71" s="4">
        <v>-8.7880888091218566E-4</v>
      </c>
    </row>
    <row r="72" spans="1:2" x14ac:dyDescent="0.25">
      <c r="A72" s="18">
        <v>42</v>
      </c>
      <c r="B72" s="4">
        <v>-3.3742621310299788E-3</v>
      </c>
    </row>
    <row r="73" spans="1:2" x14ac:dyDescent="0.25">
      <c r="A73" s="18">
        <v>43</v>
      </c>
      <c r="B73" s="4">
        <v>-1.5327319066481123E-2</v>
      </c>
    </row>
    <row r="74" spans="1:2" x14ac:dyDescent="0.25">
      <c r="A74" s="18">
        <v>44</v>
      </c>
      <c r="B74" s="4">
        <v>-1.9362208839605294E-2</v>
      </c>
    </row>
    <row r="75" spans="1:2" x14ac:dyDescent="0.25">
      <c r="A75" s="18">
        <v>45</v>
      </c>
      <c r="B75" s="4">
        <v>-2.3237073544262993E-2</v>
      </c>
    </row>
    <row r="76" spans="1:2" x14ac:dyDescent="0.25">
      <c r="A76" s="18">
        <v>46</v>
      </c>
      <c r="B76" s="4">
        <v>5.0539608179970719E-2</v>
      </c>
    </row>
    <row r="77" spans="1:2" x14ac:dyDescent="0.25">
      <c r="A77" s="18">
        <v>47</v>
      </c>
      <c r="B77" s="4">
        <v>5.0764744486357163E-2</v>
      </c>
    </row>
    <row r="78" spans="1:2" x14ac:dyDescent="0.25">
      <c r="A78" s="18">
        <v>48</v>
      </c>
      <c r="B78" s="4">
        <v>-1.3608217635506951E-2</v>
      </c>
    </row>
    <row r="79" spans="1:2" x14ac:dyDescent="0.25">
      <c r="A79" s="18">
        <v>49</v>
      </c>
      <c r="B79" s="4">
        <v>3.908116735179859E-2</v>
      </c>
    </row>
    <row r="80" spans="1:2" x14ac:dyDescent="0.25">
      <c r="A80" s="18">
        <v>50</v>
      </c>
      <c r="B80" s="4">
        <v>-7.3575103060430289E-3</v>
      </c>
    </row>
    <row r="81" spans="1:2" x14ac:dyDescent="0.25">
      <c r="A81" s="18">
        <v>51</v>
      </c>
      <c r="B81" s="4">
        <v>1.8438509819396071E-2</v>
      </c>
    </row>
    <row r="82" spans="1:2" x14ac:dyDescent="0.25">
      <c r="A82" s="18">
        <v>52</v>
      </c>
      <c r="B82" s="4">
        <v>-3.8973881623270458E-2</v>
      </c>
    </row>
    <row r="83" spans="1:2" x14ac:dyDescent="0.25">
      <c r="A83" s="18">
        <v>53</v>
      </c>
      <c r="B83" s="4">
        <v>7.821910155337887E-2</v>
      </c>
    </row>
    <row r="84" spans="1:2" x14ac:dyDescent="0.25">
      <c r="A84" s="18">
        <v>54</v>
      </c>
      <c r="B84" s="4">
        <v>3.4750683243336224E-2</v>
      </c>
    </row>
    <row r="85" spans="1:2" x14ac:dyDescent="0.25">
      <c r="A85" s="18">
        <v>55</v>
      </c>
      <c r="B85" s="4">
        <v>-1.4715444401830442E-2</v>
      </c>
    </row>
    <row r="86" spans="1:2" x14ac:dyDescent="0.25">
      <c r="A86" s="18">
        <v>56</v>
      </c>
      <c r="B86" s="4">
        <v>-7.6992930338517541E-4</v>
      </c>
    </row>
    <row r="87" spans="1:2" x14ac:dyDescent="0.25">
      <c r="A87" s="18">
        <v>57</v>
      </c>
      <c r="B87" s="4">
        <v>2.0872877337282811E-2</v>
      </c>
    </row>
    <row r="88" spans="1:2" x14ac:dyDescent="0.25">
      <c r="A88" s="18">
        <v>58</v>
      </c>
      <c r="B88" s="4">
        <v>-1.77182388244223E-3</v>
      </c>
    </row>
    <row r="89" spans="1:2" x14ac:dyDescent="0.25">
      <c r="A89" s="18">
        <v>59</v>
      </c>
      <c r="B89" s="4">
        <v>-7.7281474877488945E-2</v>
      </c>
    </row>
    <row r="90" spans="1:2" x14ac:dyDescent="0.25">
      <c r="A90" s="18">
        <v>60</v>
      </c>
      <c r="B90" s="4">
        <v>-1.0472043962607846E-2</v>
      </c>
    </row>
    <row r="91" spans="1:2" x14ac:dyDescent="0.25">
      <c r="A91" s="18">
        <v>61</v>
      </c>
      <c r="B91" s="4">
        <v>-7.6566678426936395E-3</v>
      </c>
    </row>
    <row r="92" spans="1:2" x14ac:dyDescent="0.25">
      <c r="A92" s="18">
        <v>62</v>
      </c>
      <c r="B92" s="4">
        <v>-9.6139832188451239E-3</v>
      </c>
    </row>
    <row r="93" spans="1:2" x14ac:dyDescent="0.25">
      <c r="A93" s="18">
        <v>63</v>
      </c>
      <c r="B93" s="4">
        <v>2.2863363831020771E-2</v>
      </c>
    </row>
    <row r="94" spans="1:2" x14ac:dyDescent="0.25">
      <c r="A94" s="18">
        <v>64</v>
      </c>
      <c r="B94" s="4">
        <v>3.3607799625174725E-2</v>
      </c>
    </row>
    <row r="95" spans="1:2" x14ac:dyDescent="0.25">
      <c r="A95" s="18">
        <v>65</v>
      </c>
      <c r="B95" s="4">
        <v>4.782654812940032E-2</v>
      </c>
    </row>
    <row r="96" spans="1:2" x14ac:dyDescent="0.25">
      <c r="A96" s="18">
        <v>66</v>
      </c>
      <c r="B96" s="4">
        <v>7.2540596992043786E-3</v>
      </c>
    </row>
    <row r="97" spans="1:2" x14ac:dyDescent="0.25">
      <c r="A97" s="18">
        <v>67</v>
      </c>
      <c r="B97" s="4">
        <v>2.5924077526653527E-2</v>
      </c>
    </row>
    <row r="98" spans="1:2" x14ac:dyDescent="0.25">
      <c r="A98" s="18">
        <v>68</v>
      </c>
      <c r="B98" s="4">
        <v>-2.3239821057790084E-3</v>
      </c>
    </row>
    <row r="99" spans="1:2" x14ac:dyDescent="0.25">
      <c r="A99" s="18">
        <v>69</v>
      </c>
      <c r="B99" s="4">
        <v>3.1859838762302715E-2</v>
      </c>
    </row>
    <row r="100" spans="1:2" x14ac:dyDescent="0.25">
      <c r="A100" s="18">
        <v>70</v>
      </c>
      <c r="B100" s="4">
        <v>5.3727935798133189E-2</v>
      </c>
    </row>
    <row r="101" spans="1:2" x14ac:dyDescent="0.25">
      <c r="A101" s="18">
        <v>71</v>
      </c>
      <c r="B101" s="4">
        <v>6.0734228220712871E-3</v>
      </c>
    </row>
    <row r="102" spans="1:2" x14ac:dyDescent="0.25">
      <c r="A102" s="18">
        <v>72</v>
      </c>
      <c r="B102" s="4">
        <v>-8.5936003511728545E-3</v>
      </c>
    </row>
    <row r="103" spans="1:2" x14ac:dyDescent="0.25">
      <c r="A103" s="18">
        <v>73</v>
      </c>
      <c r="B103" s="4">
        <v>2.882654850995453E-3</v>
      </c>
    </row>
    <row r="104" spans="1:2" x14ac:dyDescent="0.25">
      <c r="A104" s="18">
        <v>74</v>
      </c>
      <c r="B104" s="4">
        <v>-1.9489637823288216E-2</v>
      </c>
    </row>
    <row r="105" spans="1:2" x14ac:dyDescent="0.25">
      <c r="A105" s="18">
        <v>75</v>
      </c>
      <c r="B105" s="4">
        <v>2.8671936200466524E-2</v>
      </c>
    </row>
    <row r="106" spans="1:2" x14ac:dyDescent="0.25">
      <c r="A106" s="18">
        <v>76</v>
      </c>
      <c r="B106" s="4">
        <v>-1.1576104257708504E-2</v>
      </c>
    </row>
    <row r="107" spans="1:2" x14ac:dyDescent="0.25">
      <c r="A107" s="18">
        <v>77</v>
      </c>
      <c r="B107" s="4">
        <v>2.3027943897781657E-2</v>
      </c>
    </row>
    <row r="108" spans="1:2" x14ac:dyDescent="0.25">
      <c r="A108" s="18">
        <v>78</v>
      </c>
      <c r="B108" s="4">
        <v>1.328806458488554E-2</v>
      </c>
    </row>
    <row r="109" spans="1:2" x14ac:dyDescent="0.25">
      <c r="A109" s="18">
        <v>79</v>
      </c>
      <c r="B109" s="4">
        <v>5.8164292664031839E-3</v>
      </c>
    </row>
    <row r="110" spans="1:2" x14ac:dyDescent="0.25">
      <c r="A110" s="18">
        <v>80</v>
      </c>
      <c r="B110" s="4">
        <v>4.9717411705476333E-2</v>
      </c>
    </row>
    <row r="111" spans="1:2" x14ac:dyDescent="0.25">
      <c r="A111" s="18">
        <v>81</v>
      </c>
      <c r="B111" s="4">
        <v>-1.0201225821263562E-2</v>
      </c>
    </row>
    <row r="112" spans="1:2" x14ac:dyDescent="0.25">
      <c r="A112" s="18">
        <v>82</v>
      </c>
      <c r="B112" s="4">
        <v>3.2141074174497854E-4</v>
      </c>
    </row>
    <row r="113" spans="1:2" x14ac:dyDescent="0.25">
      <c r="A113" s="18">
        <v>83</v>
      </c>
      <c r="B113" s="4">
        <v>-6.1879580656607834E-2</v>
      </c>
    </row>
    <row r="114" spans="1:2" x14ac:dyDescent="0.25">
      <c r="A114" s="18">
        <v>84</v>
      </c>
      <c r="B114" s="4">
        <v>3.9761846774811857E-2</v>
      </c>
    </row>
    <row r="115" spans="1:2" x14ac:dyDescent="0.25">
      <c r="A115" s="18">
        <v>85</v>
      </c>
      <c r="B115" s="4">
        <v>-1.4475749126688392E-2</v>
      </c>
    </row>
    <row r="116" spans="1:2" x14ac:dyDescent="0.25">
      <c r="A116" s="18">
        <v>86</v>
      </c>
      <c r="B116" s="4">
        <v>-9.1201749721128086E-3</v>
      </c>
    </row>
    <row r="117" spans="1:2" x14ac:dyDescent="0.25">
      <c r="A117" s="18">
        <v>87</v>
      </c>
      <c r="B117" s="4">
        <v>-4.5064899524808189E-2</v>
      </c>
    </row>
    <row r="118" spans="1:2" x14ac:dyDescent="0.25">
      <c r="A118" s="18">
        <v>88</v>
      </c>
      <c r="B118" s="4">
        <v>5.8688904018092389E-2</v>
      </c>
    </row>
    <row r="119" spans="1:2" x14ac:dyDescent="0.25">
      <c r="A119" s="18">
        <v>89</v>
      </c>
      <c r="B119" s="4">
        <v>-3.5004473450634524E-2</v>
      </c>
    </row>
    <row r="120" spans="1:2" x14ac:dyDescent="0.25">
      <c r="A120" s="18">
        <v>90</v>
      </c>
      <c r="B120" s="4">
        <v>3.7941408897307877E-2</v>
      </c>
    </row>
    <row r="121" spans="1:2" x14ac:dyDescent="0.25">
      <c r="A121" s="18">
        <v>91</v>
      </c>
      <c r="B121" s="4">
        <v>-1.5007035884175093E-2</v>
      </c>
    </row>
    <row r="122" spans="1:2" x14ac:dyDescent="0.25">
      <c r="A122" s="18">
        <v>92</v>
      </c>
      <c r="B122" s="4">
        <v>5.2614327184897856E-2</v>
      </c>
    </row>
    <row r="123" spans="1:2" x14ac:dyDescent="0.25">
      <c r="A123" s="18">
        <v>93</v>
      </c>
      <c r="B123" s="4">
        <v>-4.5359285107205109E-3</v>
      </c>
    </row>
    <row r="124" spans="1:2" x14ac:dyDescent="0.25">
      <c r="A124" s="18">
        <v>94</v>
      </c>
      <c r="B124" s="4">
        <v>2.03353553477017E-2</v>
      </c>
    </row>
    <row r="125" spans="1:2" x14ac:dyDescent="0.25">
      <c r="A125" s="18">
        <v>95</v>
      </c>
      <c r="B125" s="4">
        <v>-8.8895866024409336E-3</v>
      </c>
    </row>
    <row r="126" spans="1:2" x14ac:dyDescent="0.25">
      <c r="A126" s="18">
        <v>96</v>
      </c>
      <c r="B126" s="4">
        <v>-1.2442105741295362E-2</v>
      </c>
    </row>
    <row r="127" spans="1:2" x14ac:dyDescent="0.25">
      <c r="A127" s="18">
        <v>97</v>
      </c>
      <c r="B127" s="4">
        <v>2.124406711387326E-2</v>
      </c>
    </row>
    <row r="128" spans="1:2" x14ac:dyDescent="0.25">
      <c r="A128" s="18">
        <v>98</v>
      </c>
      <c r="B128" s="4">
        <v>5.6832546251820583E-2</v>
      </c>
    </row>
    <row r="129" spans="1:2" x14ac:dyDescent="0.25">
      <c r="A129" s="18">
        <v>99</v>
      </c>
      <c r="B129" s="4">
        <v>2.9009309086471157E-2</v>
      </c>
    </row>
    <row r="130" spans="1:2" x14ac:dyDescent="0.25">
      <c r="A130" s="18">
        <v>100</v>
      </c>
      <c r="B130" s="4">
        <v>3.2926131280742101E-2</v>
      </c>
    </row>
    <row r="131" spans="1:2" x14ac:dyDescent="0.25">
      <c r="A131" s="18">
        <v>101</v>
      </c>
      <c r="B131" s="5">
        <v>4.0122192778064961E-2</v>
      </c>
    </row>
    <row r="132" spans="1:2" x14ac:dyDescent="0.25">
      <c r="A132" s="18">
        <v>102</v>
      </c>
      <c r="B132" s="5">
        <v>-4.2964926937229905E-2</v>
      </c>
    </row>
    <row r="133" spans="1:2" x14ac:dyDescent="0.25">
      <c r="A133" s="18">
        <v>103</v>
      </c>
      <c r="B133" s="5">
        <v>-1.0993537731541778E-2</v>
      </c>
    </row>
    <row r="134" spans="1:2" x14ac:dyDescent="0.25">
      <c r="A134" s="18">
        <v>104</v>
      </c>
      <c r="B134" s="5">
        <v>5.4855632055288844E-2</v>
      </c>
    </row>
    <row r="135" spans="1:2" x14ac:dyDescent="0.25">
      <c r="A135" s="18">
        <v>105</v>
      </c>
      <c r="B135" s="5">
        <v>4.6903061881126515E-2</v>
      </c>
    </row>
    <row r="136" spans="1:2" x14ac:dyDescent="0.25">
      <c r="A136" s="18">
        <v>106</v>
      </c>
      <c r="B136" s="5">
        <v>-1.374817619365227E-2</v>
      </c>
    </row>
    <row r="137" spans="1:2" x14ac:dyDescent="0.25">
      <c r="A137" s="18">
        <v>107</v>
      </c>
      <c r="B137" s="5">
        <v>7.0761692965647924E-2</v>
      </c>
    </row>
    <row r="138" spans="1:2" x14ac:dyDescent="0.25">
      <c r="A138" s="18">
        <v>108</v>
      </c>
      <c r="B138" s="5">
        <v>4.3610018051625281E-2</v>
      </c>
    </row>
    <row r="139" spans="1:2" x14ac:dyDescent="0.25">
      <c r="A139" s="18">
        <v>109</v>
      </c>
      <c r="B139" s="5">
        <v>2.2347993237644307E-2</v>
      </c>
    </row>
    <row r="140" spans="1:2" x14ac:dyDescent="0.25">
      <c r="A140" s="18">
        <v>110</v>
      </c>
      <c r="B140" s="5">
        <v>3.7122360033358615E-2</v>
      </c>
    </row>
    <row r="141" spans="1:2" x14ac:dyDescent="0.25">
      <c r="A141" s="18">
        <v>111</v>
      </c>
      <c r="B141" s="5">
        <v>5.8802977875637992E-2</v>
      </c>
    </row>
    <row r="142" spans="1:2" x14ac:dyDescent="0.25">
      <c r="A142" s="18">
        <v>112</v>
      </c>
      <c r="B142" s="5">
        <v>-1.6152565976704947E-2</v>
      </c>
    </row>
    <row r="143" spans="1:2" x14ac:dyDescent="0.25">
      <c r="A143" s="18">
        <v>113</v>
      </c>
      <c r="B143" s="5">
        <v>-1.464870432972691E-3</v>
      </c>
    </row>
    <row r="144" spans="1:2" x14ac:dyDescent="0.25">
      <c r="A144" s="18">
        <v>114</v>
      </c>
      <c r="B144" s="5">
        <v>2.6774422906499416E-2</v>
      </c>
    </row>
    <row r="145" spans="1:2" x14ac:dyDescent="0.25">
      <c r="A145" s="18">
        <v>115</v>
      </c>
      <c r="B145" s="5">
        <v>1.9793794049966919E-2</v>
      </c>
    </row>
    <row r="146" spans="1:2" x14ac:dyDescent="0.25">
      <c r="A146" s="18">
        <v>116</v>
      </c>
      <c r="B146" s="5">
        <v>5.9325091402347936E-2</v>
      </c>
    </row>
    <row r="147" spans="1:2" x14ac:dyDescent="0.25">
      <c r="A147" s="18">
        <v>117</v>
      </c>
      <c r="B147" s="5">
        <v>8.9512390406791459E-2</v>
      </c>
    </row>
    <row r="148" spans="1:2" x14ac:dyDescent="0.25">
      <c r="A148" s="18">
        <v>118</v>
      </c>
      <c r="B148" s="5">
        <v>-6.1271861653226711E-3</v>
      </c>
    </row>
    <row r="149" spans="1:2" x14ac:dyDescent="0.25">
      <c r="A149" s="18">
        <v>119</v>
      </c>
      <c r="B149" s="5">
        <v>5.7665482238244803E-2</v>
      </c>
    </row>
    <row r="150" spans="1:2" x14ac:dyDescent="0.25">
      <c r="A150" s="18">
        <v>120</v>
      </c>
      <c r="B150" s="5">
        <v>7.7257972662947601E-3</v>
      </c>
    </row>
    <row r="151" spans="1:2" x14ac:dyDescent="0.25">
      <c r="A151" s="18">
        <v>121</v>
      </c>
      <c r="B151" s="5">
        <v>2.4247874617422602E-2</v>
      </c>
    </row>
    <row r="152" spans="1:2" x14ac:dyDescent="0.25">
      <c r="A152" s="18">
        <v>122</v>
      </c>
      <c r="B152" s="5">
        <v>6.2421091200105722E-2</v>
      </c>
    </row>
    <row r="153" spans="1:2" x14ac:dyDescent="0.25">
      <c r="A153" s="18">
        <v>123</v>
      </c>
      <c r="B153" s="5">
        <v>3.0103948337299194E-2</v>
      </c>
    </row>
    <row r="154" spans="1:2" x14ac:dyDescent="0.25">
      <c r="A154" s="18">
        <v>124</v>
      </c>
      <c r="B154" s="5">
        <v>6.5699753032352884E-2</v>
      </c>
    </row>
    <row r="155" spans="1:2" x14ac:dyDescent="0.25">
      <c r="A155" s="18">
        <v>125</v>
      </c>
      <c r="B155" s="5">
        <v>1.2440912934171981E-2</v>
      </c>
    </row>
    <row r="156" spans="1:2" x14ac:dyDescent="0.25">
      <c r="A156" s="18">
        <v>126</v>
      </c>
      <c r="B156" s="5">
        <v>3.4080191400272304E-2</v>
      </c>
    </row>
    <row r="157" spans="1:2" x14ac:dyDescent="0.25">
      <c r="A157" s="18">
        <v>127</v>
      </c>
      <c r="B157" s="5">
        <v>-1.154658201847255E-2</v>
      </c>
    </row>
    <row r="158" spans="1:2" x14ac:dyDescent="0.25">
      <c r="A158" s="18">
        <v>128</v>
      </c>
      <c r="B158" s="5">
        <v>-1.3991254110745957E-2</v>
      </c>
    </row>
    <row r="159" spans="1:2" x14ac:dyDescent="0.25">
      <c r="A159" s="18">
        <v>129</v>
      </c>
      <c r="B159" s="5">
        <v>2.9383051270468811E-2</v>
      </c>
    </row>
    <row r="160" spans="1:2" x14ac:dyDescent="0.25">
      <c r="A160" s="18">
        <v>130</v>
      </c>
      <c r="B160" s="5">
        <v>-3.1674975693362868E-2</v>
      </c>
    </row>
    <row r="161" spans="1:2" x14ac:dyDescent="0.25">
      <c r="A161" s="18">
        <v>131</v>
      </c>
      <c r="B161" s="5">
        <v>-2.5860809375238693E-2</v>
      </c>
    </row>
    <row r="162" spans="1:2" x14ac:dyDescent="0.25">
      <c r="A162" s="18">
        <v>132</v>
      </c>
      <c r="B162" s="5">
        <v>-2.7336475476246118E-2</v>
      </c>
    </row>
    <row r="163" spans="1:2" x14ac:dyDescent="0.25">
      <c r="A163" s="18">
        <v>133</v>
      </c>
      <c r="B163" s="5">
        <v>-2.4222450542572393E-2</v>
      </c>
    </row>
    <row r="164" spans="1:2" x14ac:dyDescent="0.25">
      <c r="A164" s="18">
        <v>134</v>
      </c>
      <c r="B164" s="5">
        <v>1.8690972930742046E-2</v>
      </c>
    </row>
    <row r="165" spans="1:2" x14ac:dyDescent="0.25">
      <c r="A165" s="18">
        <v>135</v>
      </c>
      <c r="B165" s="5">
        <v>2.8505551479745189E-2</v>
      </c>
    </row>
    <row r="166" spans="1:2" x14ac:dyDescent="0.25">
      <c r="A166" s="18">
        <v>136</v>
      </c>
      <c r="B166" s="5">
        <v>-1.1903987878717562E-2</v>
      </c>
    </row>
    <row r="167" spans="1:2" x14ac:dyDescent="0.25">
      <c r="A167" s="18">
        <v>137</v>
      </c>
      <c r="B167" s="5">
        <v>-1.9934139422735826E-2</v>
      </c>
    </row>
    <row r="168" spans="1:2" x14ac:dyDescent="0.25">
      <c r="A168" s="18">
        <v>138</v>
      </c>
      <c r="B168" s="5">
        <v>4.5349632948496942E-2</v>
      </c>
    </row>
    <row r="169" spans="1:2" x14ac:dyDescent="0.25">
      <c r="A169" s="18">
        <v>139</v>
      </c>
      <c r="B169" s="5">
        <v>2.3075737656035926E-2</v>
      </c>
    </row>
    <row r="170" spans="1:2" x14ac:dyDescent="0.25">
      <c r="A170" s="18">
        <v>140</v>
      </c>
      <c r="B170" s="5">
        <v>-4.4860577379263605E-2</v>
      </c>
    </row>
    <row r="171" spans="1:2" x14ac:dyDescent="0.25">
      <c r="A171" s="18">
        <v>141</v>
      </c>
      <c r="B171" s="5">
        <v>4.586693798663102E-3</v>
      </c>
    </row>
    <row r="172" spans="1:2" x14ac:dyDescent="0.25">
      <c r="A172" s="18">
        <v>142</v>
      </c>
      <c r="B172" s="5">
        <v>1.5301541529623618E-2</v>
      </c>
    </row>
    <row r="173" spans="1:2" x14ac:dyDescent="0.25">
      <c r="A173" s="18">
        <v>143</v>
      </c>
      <c r="B173" s="5">
        <v>-5.6796910590823715E-3</v>
      </c>
    </row>
    <row r="174" spans="1:2" x14ac:dyDescent="0.25">
      <c r="A174" s="18">
        <v>144</v>
      </c>
      <c r="B174" s="5">
        <v>5.9454392929429077E-2</v>
      </c>
    </row>
    <row r="175" spans="1:2" x14ac:dyDescent="0.25">
      <c r="A175" s="18">
        <v>145</v>
      </c>
      <c r="B175" s="5">
        <v>1.9719959604287764E-2</v>
      </c>
    </row>
    <row r="176" spans="1:2" x14ac:dyDescent="0.25">
      <c r="A176" s="18">
        <v>146</v>
      </c>
      <c r="B176" s="5">
        <v>2.5830687704973029E-2</v>
      </c>
    </row>
    <row r="177" spans="1:2" x14ac:dyDescent="0.25">
      <c r="A177" s="18">
        <v>147</v>
      </c>
      <c r="B177" s="5">
        <v>-3.4976510793754117E-3</v>
      </c>
    </row>
    <row r="178" spans="1:2" x14ac:dyDescent="0.25">
      <c r="A178" s="18">
        <v>148</v>
      </c>
      <c r="B178" s="5">
        <v>-6.882478018887651E-3</v>
      </c>
    </row>
    <row r="179" spans="1:2" x14ac:dyDescent="0.25">
      <c r="A179" s="18">
        <v>149</v>
      </c>
      <c r="B179" s="5">
        <v>1.2388294160149551E-2</v>
      </c>
    </row>
    <row r="180" spans="1:2" x14ac:dyDescent="0.25">
      <c r="A180" s="18">
        <v>150</v>
      </c>
      <c r="B180" s="5">
        <v>-4.5409985590306928E-2</v>
      </c>
    </row>
    <row r="181" spans="1:2" x14ac:dyDescent="0.25">
      <c r="A181" s="18">
        <v>151</v>
      </c>
      <c r="B181" s="5">
        <v>5.2585754589384165E-2</v>
      </c>
    </row>
    <row r="182" spans="1:2" x14ac:dyDescent="0.25">
      <c r="A182" s="18">
        <v>152</v>
      </c>
      <c r="B182" s="5">
        <v>-2.7623845157549273E-2</v>
      </c>
    </row>
    <row r="183" spans="1:2" x14ac:dyDescent="0.25">
      <c r="A183" s="18">
        <v>153</v>
      </c>
      <c r="B183" s="5">
        <v>-1.3154749560452794E-2</v>
      </c>
    </row>
    <row r="184" spans="1:2" x14ac:dyDescent="0.25">
      <c r="A184" s="18">
        <v>154</v>
      </c>
      <c r="B184" s="5">
        <v>2.6813866049233526E-2</v>
      </c>
    </row>
    <row r="185" spans="1:2" x14ac:dyDescent="0.25">
      <c r="A185" s="18">
        <v>155</v>
      </c>
      <c r="B185" s="5">
        <v>-1.7884817816573577E-2</v>
      </c>
    </row>
    <row r="186" spans="1:2" x14ac:dyDescent="0.25">
      <c r="A186" s="18">
        <v>156</v>
      </c>
      <c r="B186" s="5">
        <v>2.0993775993890785E-2</v>
      </c>
    </row>
    <row r="187" spans="1:2" x14ac:dyDescent="0.25">
      <c r="A187" s="18">
        <v>157</v>
      </c>
      <c r="B187" s="5">
        <v>-2.8334481696698027E-2</v>
      </c>
    </row>
    <row r="188" spans="1:2" x14ac:dyDescent="0.25">
      <c r="A188" s="18">
        <v>158</v>
      </c>
      <c r="B188" s="5">
        <v>-4.5981798014595506E-3</v>
      </c>
    </row>
    <row r="189" spans="1:2" x14ac:dyDescent="0.25">
      <c r="A189" s="18">
        <v>159</v>
      </c>
      <c r="B189" s="5">
        <v>1.571403260223047E-2</v>
      </c>
    </row>
    <row r="190" spans="1:2" x14ac:dyDescent="0.25">
      <c r="A190" s="18">
        <v>160</v>
      </c>
      <c r="B190" s="5">
        <v>4.8844815772544611E-2</v>
      </c>
    </row>
    <row r="191" spans="1:2" x14ac:dyDescent="0.25">
      <c r="A191" s="18">
        <v>161</v>
      </c>
      <c r="B191" s="5">
        <v>-2.9998953722539055E-2</v>
      </c>
    </row>
    <row r="192" spans="1:2" x14ac:dyDescent="0.25">
      <c r="A192" s="18">
        <v>162</v>
      </c>
      <c r="B192" s="5">
        <v>1.4270755756245906E-2</v>
      </c>
    </row>
    <row r="193" spans="1:2" x14ac:dyDescent="0.25">
      <c r="A193" s="18">
        <v>163</v>
      </c>
      <c r="B193" s="5">
        <v>4.3929412158079099E-2</v>
      </c>
    </row>
    <row r="194" spans="1:2" x14ac:dyDescent="0.25">
      <c r="A194" s="18">
        <v>164</v>
      </c>
      <c r="B194" s="5">
        <v>1.8664625178719838E-2</v>
      </c>
    </row>
    <row r="195" spans="1:2" x14ac:dyDescent="0.25">
      <c r="A195" s="18">
        <v>165</v>
      </c>
      <c r="B195" s="5">
        <v>3.442181239235146E-2</v>
      </c>
    </row>
    <row r="196" spans="1:2" x14ac:dyDescent="0.25">
      <c r="A196" s="18">
        <v>166</v>
      </c>
      <c r="B196" s="5">
        <v>-1.7121555992930082E-2</v>
      </c>
    </row>
    <row r="197" spans="1:2" x14ac:dyDescent="0.25">
      <c r="A197" s="18">
        <v>167</v>
      </c>
      <c r="B197" s="5">
        <v>-5.7932203730549064E-3</v>
      </c>
    </row>
    <row r="198" spans="1:2" x14ac:dyDescent="0.25">
      <c r="A198" s="18">
        <v>168</v>
      </c>
      <c r="B198" s="5">
        <v>2.9870842911775795E-2</v>
      </c>
    </row>
    <row r="199" spans="1:2" x14ac:dyDescent="0.25">
      <c r="A199" s="18">
        <v>169</v>
      </c>
      <c r="B199" s="5">
        <v>-5.0469870303822814E-2</v>
      </c>
    </row>
    <row r="200" spans="1:2" x14ac:dyDescent="0.25">
      <c r="A200" s="18">
        <v>170</v>
      </c>
      <c r="B200" s="5">
        <v>7.7250138338676184E-3</v>
      </c>
    </row>
    <row r="201" spans="1:2" x14ac:dyDescent="0.25">
      <c r="A201" s="18">
        <v>171</v>
      </c>
      <c r="B201" s="5">
        <v>6.1265920769707095E-3</v>
      </c>
    </row>
    <row r="202" spans="1:2" x14ac:dyDescent="0.25">
      <c r="A202" s="18">
        <v>172</v>
      </c>
      <c r="B202" s="5">
        <v>2.0420719572039305E-2</v>
      </c>
    </row>
    <row r="203" spans="1:2" x14ac:dyDescent="0.25">
      <c r="A203" s="18">
        <v>173</v>
      </c>
      <c r="B203" s="5">
        <v>8.9431591152284631E-3</v>
      </c>
    </row>
    <row r="204" spans="1:2" x14ac:dyDescent="0.25">
      <c r="A204" s="18">
        <v>174</v>
      </c>
      <c r="B204" s="5">
        <v>5.3224642420769602E-2</v>
      </c>
    </row>
    <row r="205" spans="1:2" x14ac:dyDescent="0.25">
      <c r="A205" s="18">
        <v>175</v>
      </c>
      <c r="B205" s="5">
        <v>-2.2793735922851621E-2</v>
      </c>
    </row>
    <row r="206" spans="1:2" x14ac:dyDescent="0.25">
      <c r="A206" s="18">
        <v>176</v>
      </c>
      <c r="B206" s="5">
        <v>3.4075075284386434E-2</v>
      </c>
    </row>
    <row r="207" spans="1:2" x14ac:dyDescent="0.25">
      <c r="A207" s="18">
        <v>177</v>
      </c>
      <c r="B207" s="5">
        <v>2.0036512723945049E-2</v>
      </c>
    </row>
    <row r="208" spans="1:2" x14ac:dyDescent="0.25">
      <c r="A208" s="18">
        <v>178</v>
      </c>
      <c r="B208" s="5">
        <v>-2.2572598595995839E-2</v>
      </c>
    </row>
    <row r="209" spans="1:2" x14ac:dyDescent="0.25">
      <c r="A209" s="18">
        <v>179</v>
      </c>
      <c r="B209" s="5">
        <v>2.3720613695691714E-2</v>
      </c>
    </row>
    <row r="210" spans="1:2" x14ac:dyDescent="0.25">
      <c r="A210" s="18">
        <v>180</v>
      </c>
      <c r="B210" s="5">
        <v>-2.3261985267986146E-2</v>
      </c>
    </row>
    <row r="211" spans="1:2" x14ac:dyDescent="0.25">
      <c r="A211" s="18">
        <v>181</v>
      </c>
      <c r="B211" s="5">
        <v>3.0139774314618697E-2</v>
      </c>
    </row>
    <row r="212" spans="1:2" x14ac:dyDescent="0.25">
      <c r="A212" s="18">
        <v>182</v>
      </c>
      <c r="B212" s="5">
        <v>2.6057022200388736E-2</v>
      </c>
    </row>
    <row r="213" spans="1:2" x14ac:dyDescent="0.25">
      <c r="A213" s="18">
        <v>183</v>
      </c>
      <c r="B213" s="5">
        <v>-1.2916637409998747E-2</v>
      </c>
    </row>
    <row r="214" spans="1:2" x14ac:dyDescent="0.25">
      <c r="A214" s="18">
        <v>184</v>
      </c>
      <c r="B214" s="5">
        <v>1.0535982522042013E-3</v>
      </c>
    </row>
    <row r="215" spans="1:2" x14ac:dyDescent="0.25">
      <c r="A215" s="18">
        <v>185</v>
      </c>
      <c r="B215" s="5">
        <v>1.7326266338256249E-2</v>
      </c>
    </row>
    <row r="216" spans="1:2" x14ac:dyDescent="0.25">
      <c r="A216" s="18">
        <v>186</v>
      </c>
      <c r="B216" s="5">
        <v>2.3992832132515504E-2</v>
      </c>
    </row>
    <row r="217" spans="1:2" x14ac:dyDescent="0.25">
      <c r="A217" s="18">
        <v>187</v>
      </c>
      <c r="B217" s="5">
        <v>3.8279206386792074E-2</v>
      </c>
    </row>
    <row r="218" spans="1:2" x14ac:dyDescent="0.25">
      <c r="A218" s="18">
        <v>188</v>
      </c>
      <c r="B218" s="5">
        <v>-9.6357457616053771E-3</v>
      </c>
    </row>
    <row r="219" spans="1:2" x14ac:dyDescent="0.25">
      <c r="A219" s="18">
        <v>189</v>
      </c>
      <c r="B219" s="5">
        <v>-1.343821329509688E-2</v>
      </c>
    </row>
    <row r="220" spans="1:2" x14ac:dyDescent="0.25">
      <c r="A220" s="18">
        <v>190</v>
      </c>
      <c r="B220" s="5">
        <v>2.1527007894709585E-2</v>
      </c>
    </row>
    <row r="221" spans="1:2" x14ac:dyDescent="0.25">
      <c r="A221" s="18">
        <v>191</v>
      </c>
      <c r="B221" s="5">
        <v>8.5900453041080037E-3</v>
      </c>
    </row>
    <row r="222" spans="1:2" x14ac:dyDescent="0.25">
      <c r="A222" s="18">
        <v>192</v>
      </c>
      <c r="B222" s="5">
        <v>-1.4269795088610267E-2</v>
      </c>
    </row>
    <row r="223" spans="1:2" x14ac:dyDescent="0.25">
      <c r="A223" s="18">
        <v>193</v>
      </c>
      <c r="B223" s="5">
        <v>2.2669616865501729E-2</v>
      </c>
    </row>
    <row r="224" spans="1:2" x14ac:dyDescent="0.25">
      <c r="A224" s="18">
        <v>194</v>
      </c>
      <c r="B224" s="5">
        <v>-1.31241000170201E-3</v>
      </c>
    </row>
    <row r="225" spans="1:2" x14ac:dyDescent="0.25">
      <c r="A225" s="18">
        <v>195</v>
      </c>
      <c r="B225" s="5">
        <v>2.0483008728673213E-2</v>
      </c>
    </row>
    <row r="226" spans="1:2" x14ac:dyDescent="0.25">
      <c r="A226" s="18">
        <v>196</v>
      </c>
      <c r="B226" s="5">
        <v>2.0730812408458657E-2</v>
      </c>
    </row>
    <row r="227" spans="1:2" x14ac:dyDescent="0.25">
      <c r="A227" s="18">
        <v>197</v>
      </c>
      <c r="B227" s="5">
        <v>3.8388641545485713E-2</v>
      </c>
    </row>
    <row r="228" spans="1:2" x14ac:dyDescent="0.25">
      <c r="A228" s="18">
        <v>198</v>
      </c>
      <c r="B228" s="5">
        <v>-2.7407575350840579E-2</v>
      </c>
    </row>
    <row r="229" spans="1:2" x14ac:dyDescent="0.25">
      <c r="A229" s="18">
        <v>199</v>
      </c>
      <c r="B229" s="5">
        <v>2.5119816031564608E-2</v>
      </c>
    </row>
    <row r="230" spans="1:2" x14ac:dyDescent="0.25">
      <c r="A230" s="18">
        <v>200</v>
      </c>
      <c r="B230" s="5">
        <v>-6.7812816971630115E-3</v>
      </c>
    </row>
    <row r="231" spans="1:2" x14ac:dyDescent="0.25">
      <c r="A231" s="18">
        <v>201</v>
      </c>
      <c r="B231" s="5">
        <v>1.5387237911405486E-2</v>
      </c>
    </row>
    <row r="232" spans="1:2" x14ac:dyDescent="0.25">
      <c r="A232" s="18">
        <v>202</v>
      </c>
      <c r="B232" s="5">
        <v>3.2638761739297731E-3</v>
      </c>
    </row>
    <row r="233" spans="1:2" x14ac:dyDescent="0.25">
      <c r="A233" s="18">
        <v>203</v>
      </c>
      <c r="B233" s="5">
        <v>2.1760209758822341E-2</v>
      </c>
    </row>
    <row r="234" spans="1:2" x14ac:dyDescent="0.25">
      <c r="A234" s="18">
        <v>204</v>
      </c>
      <c r="B234" s="5">
        <v>2.0287188796577094E-2</v>
      </c>
    </row>
    <row r="235" spans="1:2" x14ac:dyDescent="0.25">
      <c r="A235" s="18">
        <v>205</v>
      </c>
      <c r="B235" s="5">
        <v>-1.7970667153819939E-2</v>
      </c>
    </row>
    <row r="236" spans="1:2" x14ac:dyDescent="0.25">
      <c r="A236" s="18">
        <v>206</v>
      </c>
      <c r="B236" s="5">
        <v>7.701584244998976E-3</v>
      </c>
    </row>
    <row r="237" spans="1:2" x14ac:dyDescent="0.25">
      <c r="A237" s="18">
        <v>207</v>
      </c>
      <c r="B237" s="5">
        <v>1.7598906130907359E-2</v>
      </c>
    </row>
    <row r="238" spans="1:2" x14ac:dyDescent="0.25">
      <c r="A238" s="18">
        <v>208</v>
      </c>
      <c r="B238" s="5">
        <v>-2.2061024151504061E-2</v>
      </c>
    </row>
    <row r="239" spans="1:2" x14ac:dyDescent="0.25">
      <c r="A239" s="18">
        <v>209</v>
      </c>
      <c r="B239" s="5">
        <v>-4.6865007783378487E-2</v>
      </c>
    </row>
    <row r="240" spans="1:2" x14ac:dyDescent="0.25">
      <c r="A240" s="18">
        <v>210</v>
      </c>
      <c r="B240" s="5">
        <v>5.9182567013987891E-3</v>
      </c>
    </row>
    <row r="241" spans="1:2" x14ac:dyDescent="0.25">
      <c r="A241" s="18">
        <v>211</v>
      </c>
      <c r="B241" s="5">
        <v>1.8115562783401436E-2</v>
      </c>
    </row>
    <row r="242" spans="1:2" x14ac:dyDescent="0.25">
      <c r="A242" s="18">
        <v>212</v>
      </c>
      <c r="B242" s="5">
        <v>-7.1604411298792706E-3</v>
      </c>
    </row>
    <row r="243" spans="1:2" x14ac:dyDescent="0.25">
      <c r="A243" s="18">
        <v>213</v>
      </c>
      <c r="B243" s="5">
        <v>-1.7719344180950183E-2</v>
      </c>
    </row>
    <row r="244" spans="1:2" x14ac:dyDescent="0.25">
      <c r="A244" s="18">
        <v>214</v>
      </c>
      <c r="B244" s="5">
        <v>5.9910962219141231E-2</v>
      </c>
    </row>
    <row r="245" spans="1:2" x14ac:dyDescent="0.25">
      <c r="A245" s="18">
        <v>215</v>
      </c>
      <c r="B245" s="5">
        <v>5.804285976595506E-3</v>
      </c>
    </row>
    <row r="246" spans="1:2" x14ac:dyDescent="0.25">
      <c r="A246" s="18">
        <v>216</v>
      </c>
      <c r="B246" s="5">
        <v>-1.2492674543702105E-2</v>
      </c>
    </row>
    <row r="247" spans="1:2" x14ac:dyDescent="0.25">
      <c r="A247" s="18">
        <v>217</v>
      </c>
      <c r="B247" s="5">
        <v>1.1713218341690704E-2</v>
      </c>
    </row>
    <row r="248" spans="1:2" x14ac:dyDescent="0.25">
      <c r="A248" s="18">
        <v>218</v>
      </c>
      <c r="B248" s="5">
        <v>-1.2090524198937129E-2</v>
      </c>
    </row>
    <row r="249" spans="1:2" x14ac:dyDescent="0.25">
      <c r="A249" s="18">
        <v>219</v>
      </c>
      <c r="B249" s="5">
        <v>5.6027551787711939E-2</v>
      </c>
    </row>
    <row r="250" spans="1:2" x14ac:dyDescent="0.25">
      <c r="A250" s="18">
        <v>220</v>
      </c>
      <c r="B250" s="5">
        <v>-1.4869515672150989E-3</v>
      </c>
    </row>
    <row r="251" spans="1:2" x14ac:dyDescent="0.25">
      <c r="A251" s="18">
        <v>221</v>
      </c>
      <c r="B251" s="5">
        <v>7.8401374420569072E-3</v>
      </c>
    </row>
    <row r="252" spans="1:2" x14ac:dyDescent="0.25">
      <c r="A252" s="18">
        <v>222</v>
      </c>
      <c r="B252" s="5">
        <v>-7.5790782180011054E-3</v>
      </c>
    </row>
    <row r="253" spans="1:2" x14ac:dyDescent="0.25">
      <c r="A253" s="18">
        <v>223</v>
      </c>
      <c r="B253" s="5">
        <v>2.7861381106826982E-2</v>
      </c>
    </row>
    <row r="254" spans="1:2" x14ac:dyDescent="0.25">
      <c r="A254" s="18">
        <v>224</v>
      </c>
      <c r="B254" s="5">
        <v>-1.4776952137346687E-2</v>
      </c>
    </row>
    <row r="255" spans="1:2" x14ac:dyDescent="0.25">
      <c r="A255" s="18">
        <v>225</v>
      </c>
      <c r="B255" s="5">
        <v>-7.428007197940208E-3</v>
      </c>
    </row>
    <row r="256" spans="1:2" x14ac:dyDescent="0.25">
      <c r="A256" s="18">
        <v>226</v>
      </c>
      <c r="B256" s="5">
        <v>3.1151616557131487E-2</v>
      </c>
    </row>
    <row r="257" spans="1:2" x14ac:dyDescent="0.25">
      <c r="A257" s="18">
        <v>227</v>
      </c>
      <c r="B257" s="5">
        <v>6.4431927883482915E-3</v>
      </c>
    </row>
    <row r="258" spans="1:2" x14ac:dyDescent="0.25">
      <c r="A258" s="18">
        <v>228</v>
      </c>
      <c r="B258" s="5">
        <v>1.4712963146900409E-3</v>
      </c>
    </row>
    <row r="259" spans="1:2" x14ac:dyDescent="0.25">
      <c r="A259" s="18">
        <v>229</v>
      </c>
      <c r="B259" s="5">
        <v>1.2298284423169031E-2</v>
      </c>
    </row>
    <row r="260" spans="1:2" x14ac:dyDescent="0.25">
      <c r="A260" s="18">
        <v>230</v>
      </c>
      <c r="B260" s="5">
        <v>1.0485592037975326E-2</v>
      </c>
    </row>
    <row r="261" spans="1:2" x14ac:dyDescent="0.25">
      <c r="A261" s="18">
        <v>231</v>
      </c>
      <c r="B261" s="5">
        <v>2.0219632438213724E-2</v>
      </c>
    </row>
    <row r="262" spans="1:2" x14ac:dyDescent="0.25">
      <c r="A262" s="18">
        <v>232</v>
      </c>
      <c r="B262" s="5">
        <v>-1.4758340342307576E-2</v>
      </c>
    </row>
    <row r="263" spans="1:2" x14ac:dyDescent="0.25">
      <c r="A263" s="18">
        <v>233</v>
      </c>
      <c r="B263" s="5">
        <v>1.6837633498895176E-2</v>
      </c>
    </row>
    <row r="264" spans="1:2" x14ac:dyDescent="0.25">
      <c r="A264" s="18">
        <v>234</v>
      </c>
      <c r="B264" s="5">
        <v>1.0771700323163561E-2</v>
      </c>
    </row>
    <row r="265" spans="1:2" x14ac:dyDescent="0.25">
      <c r="A265" s="18">
        <v>235</v>
      </c>
      <c r="B265" s="5">
        <v>5.3919151260967621E-2</v>
      </c>
    </row>
    <row r="266" spans="1:2" x14ac:dyDescent="0.25">
      <c r="A266" s="18">
        <v>236</v>
      </c>
      <c r="B266" s="5">
        <v>2.878251187715632E-2</v>
      </c>
    </row>
    <row r="267" spans="1:2" x14ac:dyDescent="0.25">
      <c r="A267" s="18">
        <v>237</v>
      </c>
      <c r="B267" s="5">
        <v>-8.9305953913453272E-3</v>
      </c>
    </row>
    <row r="268" spans="1:2" x14ac:dyDescent="0.25">
      <c r="A268" s="18">
        <v>238</v>
      </c>
      <c r="B268" s="5">
        <v>3.3304075322934633E-2</v>
      </c>
    </row>
    <row r="269" spans="1:2" x14ac:dyDescent="0.25">
      <c r="A269" s="18">
        <v>239</v>
      </c>
      <c r="B269" s="5">
        <v>-3.1726873820965583E-2</v>
      </c>
    </row>
    <row r="270" spans="1:2" x14ac:dyDescent="0.25">
      <c r="A270" s="18">
        <v>240</v>
      </c>
      <c r="B270" s="5">
        <v>3.3019371132503153E-2</v>
      </c>
    </row>
    <row r="271" spans="1:2" x14ac:dyDescent="0.25">
      <c r="A271" s="18">
        <v>241</v>
      </c>
      <c r="B271" s="5">
        <v>2.5529270718419192E-2</v>
      </c>
    </row>
    <row r="272" spans="1:2" x14ac:dyDescent="0.25">
      <c r="A272" s="18">
        <v>242</v>
      </c>
      <c r="B272" s="5">
        <v>2.3588582682631278E-2</v>
      </c>
    </row>
    <row r="273" spans="1:2" x14ac:dyDescent="0.25">
      <c r="A273" s="18">
        <v>243</v>
      </c>
      <c r="B273" s="5">
        <v>2.282127238556482E-2</v>
      </c>
    </row>
    <row r="274" spans="1:2" x14ac:dyDescent="0.25">
      <c r="A274" s="18">
        <v>244</v>
      </c>
      <c r="B274" s="5">
        <v>9.3348011686811717E-3</v>
      </c>
    </row>
    <row r="275" spans="1:2" x14ac:dyDescent="0.25">
      <c r="A275" s="18">
        <v>245</v>
      </c>
      <c r="B275" s="5">
        <v>-7.5843169651710809E-3</v>
      </c>
    </row>
    <row r="276" spans="1:2" x14ac:dyDescent="0.25">
      <c r="A276" s="18">
        <v>246</v>
      </c>
      <c r="B276" s="5">
        <v>-1.512940468365313E-2</v>
      </c>
    </row>
    <row r="277" spans="1:2" x14ac:dyDescent="0.25">
      <c r="A277" s="18">
        <v>247</v>
      </c>
      <c r="B277" s="5">
        <v>4.5641278190135207E-2</v>
      </c>
    </row>
    <row r="278" spans="1:2" x14ac:dyDescent="0.25">
      <c r="A278" s="18">
        <v>248</v>
      </c>
      <c r="B278" s="5">
        <v>-3.7864588576831761E-2</v>
      </c>
    </row>
    <row r="279" spans="1:2" x14ac:dyDescent="0.25">
      <c r="A279" s="18">
        <v>249</v>
      </c>
      <c r="B279" s="5">
        <v>-1.418296892110532E-3</v>
      </c>
    </row>
    <row r="280" spans="1:2" x14ac:dyDescent="0.25">
      <c r="A280" s="18">
        <v>250</v>
      </c>
      <c r="B280" s="5">
        <v>-8.1798797393388151E-4</v>
      </c>
    </row>
    <row r="281" spans="1:2" x14ac:dyDescent="0.25">
      <c r="A281" s="18">
        <v>251</v>
      </c>
      <c r="B281" s="5">
        <v>-7.0614017218681088E-3</v>
      </c>
    </row>
    <row r="282" spans="1:2" x14ac:dyDescent="0.25">
      <c r="A282" s="18">
        <v>252</v>
      </c>
      <c r="B282" s="5">
        <v>-6.2162225935632268E-3</v>
      </c>
    </row>
    <row r="283" spans="1:2" x14ac:dyDescent="0.25">
      <c r="A283" s="18">
        <v>253</v>
      </c>
      <c r="B283" s="5">
        <v>-8.0122933205639055E-3</v>
      </c>
    </row>
    <row r="284" spans="1:2" x14ac:dyDescent="0.25">
      <c r="A284" s="18">
        <v>254</v>
      </c>
      <c r="B284" s="5">
        <v>2.9183445513665369E-2</v>
      </c>
    </row>
    <row r="285" spans="1:2" x14ac:dyDescent="0.25">
      <c r="A285" s="18">
        <v>255</v>
      </c>
      <c r="B285" s="5">
        <v>1.1853298548918454E-2</v>
      </c>
    </row>
    <row r="286" spans="1:2" x14ac:dyDescent="0.25">
      <c r="A286" s="18">
        <v>256</v>
      </c>
      <c r="B286" s="5">
        <v>-1.4281853116338995E-2</v>
      </c>
    </row>
    <row r="287" spans="1:2" x14ac:dyDescent="0.25">
      <c r="A287" s="18">
        <v>257</v>
      </c>
      <c r="B287" s="5">
        <v>-7.1357604824711894E-3</v>
      </c>
    </row>
    <row r="288" spans="1:2" x14ac:dyDescent="0.25">
      <c r="A288" s="18">
        <v>258</v>
      </c>
      <c r="B288" s="5">
        <v>1.9643473608622702E-3</v>
      </c>
    </row>
    <row r="289" spans="1:2" x14ac:dyDescent="0.25">
      <c r="A289" s="18">
        <v>259</v>
      </c>
      <c r="B289" s="5">
        <v>5.9687465155862263E-2</v>
      </c>
    </row>
    <row r="290" spans="1:2" x14ac:dyDescent="0.25">
      <c r="A290" s="18">
        <v>260</v>
      </c>
      <c r="B290" s="5">
        <v>5.3891973617418626E-2</v>
      </c>
    </row>
    <row r="291" spans="1:2" x14ac:dyDescent="0.25">
      <c r="A291" s="18">
        <v>261</v>
      </c>
      <c r="B291" s="5">
        <v>3.4171865601143589E-2</v>
      </c>
    </row>
    <row r="292" spans="1:2" x14ac:dyDescent="0.25">
      <c r="A292" s="18">
        <v>262</v>
      </c>
      <c r="B292" s="5">
        <v>3.9642152629054524E-2</v>
      </c>
    </row>
    <row r="293" spans="1:2" x14ac:dyDescent="0.25">
      <c r="A293" s="18">
        <v>263</v>
      </c>
      <c r="B293" s="5">
        <v>3.0751573382580791E-2</v>
      </c>
    </row>
    <row r="294" spans="1:2" x14ac:dyDescent="0.25">
      <c r="A294" s="18">
        <v>264</v>
      </c>
      <c r="B294" s="5">
        <v>9.4424222219671363E-3</v>
      </c>
    </row>
    <row r="295" spans="1:2" x14ac:dyDescent="0.25">
      <c r="A295" s="18">
        <v>265</v>
      </c>
      <c r="B295" s="5">
        <v>6.0233351308942064E-2</v>
      </c>
    </row>
    <row r="296" spans="1:2" x14ac:dyDescent="0.25">
      <c r="A296" s="18">
        <v>266</v>
      </c>
      <c r="B296" s="5">
        <v>3.2089745841431476E-2</v>
      </c>
    </row>
    <row r="297" spans="1:2" x14ac:dyDescent="0.25">
      <c r="A297" s="18">
        <v>267</v>
      </c>
      <c r="B297" s="5">
        <v>1.872216976705381E-3</v>
      </c>
    </row>
    <row r="298" spans="1:2" x14ac:dyDescent="0.25">
      <c r="A298" s="18">
        <v>268</v>
      </c>
      <c r="B298" s="5">
        <v>-5.420596697473367E-5</v>
      </c>
    </row>
    <row r="299" spans="1:2" x14ac:dyDescent="0.25">
      <c r="A299" s="18">
        <v>269</v>
      </c>
      <c r="B299" s="5">
        <v>2.3636402732786083E-2</v>
      </c>
    </row>
    <row r="300" spans="1:2" x14ac:dyDescent="0.25">
      <c r="A300" s="18">
        <v>270</v>
      </c>
      <c r="B300" s="5">
        <v>-1.5851851007448164E-4</v>
      </c>
    </row>
    <row r="301" spans="1:2" x14ac:dyDescent="0.25">
      <c r="A301" s="18">
        <v>271</v>
      </c>
      <c r="B301" s="5">
        <v>3.5904494693140741E-2</v>
      </c>
    </row>
    <row r="302" spans="1:2" x14ac:dyDescent="0.25">
      <c r="A302" s="18">
        <v>272</v>
      </c>
      <c r="B302" s="5">
        <v>-3.8890828814095914E-3</v>
      </c>
    </row>
    <row r="303" spans="1:2" x14ac:dyDescent="0.25">
      <c r="A303" s="18">
        <v>273</v>
      </c>
      <c r="B303" s="5">
        <v>2.368911410816189E-2</v>
      </c>
    </row>
    <row r="304" spans="1:2" x14ac:dyDescent="0.25">
      <c r="A304" s="18">
        <v>274</v>
      </c>
      <c r="B304" s="5">
        <v>1.6324330662538657E-2</v>
      </c>
    </row>
    <row r="305" spans="1:2" x14ac:dyDescent="0.25">
      <c r="A305" s="18">
        <v>275</v>
      </c>
      <c r="B305" s="5">
        <v>2.0123512034496315E-2</v>
      </c>
    </row>
    <row r="306" spans="1:2" x14ac:dyDescent="0.25">
      <c r="A306" s="18">
        <v>276</v>
      </c>
      <c r="B306" s="5">
        <v>4.2911576804533197E-2</v>
      </c>
    </row>
    <row r="307" spans="1:2" x14ac:dyDescent="0.25">
      <c r="A307" s="18">
        <v>277</v>
      </c>
      <c r="B307" s="5">
        <v>-5.6783241306357597E-2</v>
      </c>
    </row>
    <row r="308" spans="1:2" x14ac:dyDescent="0.25">
      <c r="A308" s="18">
        <v>278</v>
      </c>
      <c r="B308" s="5">
        <v>2.2816529891836721E-2</v>
      </c>
    </row>
    <row r="309" spans="1:2" x14ac:dyDescent="0.25">
      <c r="A309" s="18">
        <v>279</v>
      </c>
      <c r="B309" s="5">
        <v>5.70713929202065E-2</v>
      </c>
    </row>
    <row r="310" spans="1:2" x14ac:dyDescent="0.25">
      <c r="A310" s="18">
        <v>280</v>
      </c>
      <c r="B310" s="5">
        <v>-2.7926189405825579E-2</v>
      </c>
    </row>
    <row r="311" spans="1:2" x14ac:dyDescent="0.25">
      <c r="A311" s="18">
        <v>281</v>
      </c>
      <c r="B311" s="5">
        <v>1.9964383397313459E-2</v>
      </c>
    </row>
    <row r="312" spans="1:2" x14ac:dyDescent="0.25">
      <c r="A312" s="18">
        <v>282</v>
      </c>
      <c r="B312" s="5">
        <v>7.5821430629664496E-2</v>
      </c>
    </row>
    <row r="313" spans="1:2" x14ac:dyDescent="0.25">
      <c r="A313" s="18">
        <v>283</v>
      </c>
      <c r="B313" s="5">
        <v>2.8173691904993657E-2</v>
      </c>
    </row>
    <row r="314" spans="1:2" x14ac:dyDescent="0.25">
      <c r="A314" s="18">
        <v>284</v>
      </c>
      <c r="B314" s="5">
        <v>2.7414985041579638E-2</v>
      </c>
    </row>
    <row r="315" spans="1:2" x14ac:dyDescent="0.25">
      <c r="A315" s="18">
        <v>285</v>
      </c>
      <c r="B315" s="5">
        <v>3.6173488315591196E-2</v>
      </c>
    </row>
    <row r="316" spans="1:2" x14ac:dyDescent="0.25">
      <c r="A316" s="18">
        <v>286</v>
      </c>
      <c r="B316" s="5">
        <v>1.4326224668645674E-2</v>
      </c>
    </row>
    <row r="317" spans="1:2" x14ac:dyDescent="0.25">
      <c r="A317" s="18">
        <v>287</v>
      </c>
      <c r="B317" s="5">
        <v>-3.6256806533217556E-2</v>
      </c>
    </row>
    <row r="318" spans="1:2" x14ac:dyDescent="0.25">
      <c r="A318" s="18">
        <v>288</v>
      </c>
      <c r="B318" s="5">
        <v>2.2594705824052874E-2</v>
      </c>
    </row>
    <row r="319" spans="1:2" x14ac:dyDescent="0.25">
      <c r="A319" s="18">
        <v>289</v>
      </c>
      <c r="B319" s="5">
        <v>3.4025933085187629E-2</v>
      </c>
    </row>
    <row r="320" spans="1:2" x14ac:dyDescent="0.25">
      <c r="A320" s="18">
        <v>290</v>
      </c>
      <c r="B320" s="5">
        <v>-6.8361535243516491E-3</v>
      </c>
    </row>
    <row r="321" spans="1:2" x14ac:dyDescent="0.25">
      <c r="A321" s="18">
        <v>291</v>
      </c>
      <c r="B321" s="5">
        <v>7.3462209870258964E-3</v>
      </c>
    </row>
    <row r="322" spans="1:2" x14ac:dyDescent="0.25">
      <c r="A322" s="18">
        <v>292</v>
      </c>
      <c r="B322" s="5">
        <v>-1.2755698097715974E-2</v>
      </c>
    </row>
    <row r="323" spans="1:2" x14ac:dyDescent="0.25">
      <c r="A323" s="18">
        <v>293</v>
      </c>
      <c r="B323" s="5">
        <v>5.0453710980791502E-2</v>
      </c>
    </row>
    <row r="324" spans="1:2" x14ac:dyDescent="0.25">
      <c r="A324" s="18">
        <v>294</v>
      </c>
      <c r="B324" s="5">
        <v>5.3554778425673355E-2</v>
      </c>
    </row>
    <row r="325" spans="1:2" x14ac:dyDescent="0.25">
      <c r="A325" s="18">
        <v>295</v>
      </c>
      <c r="B325" s="5">
        <v>4.1821460019487763E-2</v>
      </c>
    </row>
    <row r="326" spans="1:2" x14ac:dyDescent="0.25">
      <c r="A326" s="18">
        <v>296</v>
      </c>
      <c r="B326" s="5">
        <v>3.3568143192164807E-2</v>
      </c>
    </row>
    <row r="327" spans="1:2" x14ac:dyDescent="0.25">
      <c r="A327" s="18">
        <v>297</v>
      </c>
      <c r="B327" s="5">
        <v>-9.6503743175403427E-3</v>
      </c>
    </row>
    <row r="328" spans="1:2" x14ac:dyDescent="0.25">
      <c r="A328" s="18">
        <v>298</v>
      </c>
      <c r="B328" s="5">
        <v>-7.4000717788117298E-3</v>
      </c>
    </row>
    <row r="329" spans="1:2" x14ac:dyDescent="0.25">
      <c r="A329" s="18">
        <v>299</v>
      </c>
      <c r="B329" s="5">
        <v>1.187511788767423E-2</v>
      </c>
    </row>
    <row r="330" spans="1:2" x14ac:dyDescent="0.25">
      <c r="A330" s="18">
        <v>300</v>
      </c>
      <c r="B330" s="5">
        <v>-1.3297209615477371E-2</v>
      </c>
    </row>
    <row r="331" spans="1:2" x14ac:dyDescent="0.25">
      <c r="A331" s="18">
        <v>301</v>
      </c>
      <c r="B331" s="5">
        <v>-1.3766489847465899E-2</v>
      </c>
    </row>
    <row r="332" spans="1:2" x14ac:dyDescent="0.25">
      <c r="A332" s="18">
        <v>302</v>
      </c>
      <c r="B332" s="5">
        <v>2.9749827984657511E-2</v>
      </c>
    </row>
    <row r="333" spans="1:2" x14ac:dyDescent="0.25">
      <c r="A333" s="18">
        <v>303</v>
      </c>
      <c r="B333" s="5">
        <v>-6.4809057610725413E-3</v>
      </c>
    </row>
    <row r="334" spans="1:2" x14ac:dyDescent="0.25">
      <c r="A334" s="18">
        <v>304</v>
      </c>
      <c r="B334" s="5">
        <v>-1.6007274011974229E-2</v>
      </c>
    </row>
    <row r="335" spans="1:2" x14ac:dyDescent="0.25">
      <c r="A335" s="18">
        <v>305</v>
      </c>
      <c r="B335" s="5">
        <v>2.6820920899080152E-2</v>
      </c>
    </row>
    <row r="336" spans="1:2" x14ac:dyDescent="0.25">
      <c r="A336" s="18">
        <v>306</v>
      </c>
      <c r="B336" s="5">
        <v>1.7076827644949985E-2</v>
      </c>
    </row>
    <row r="337" spans="1:2" x14ac:dyDescent="0.25">
      <c r="A337" s="18">
        <v>307</v>
      </c>
      <c r="B337" s="5">
        <v>-2.0108871314318634E-2</v>
      </c>
    </row>
    <row r="338" spans="1:2" x14ac:dyDescent="0.25">
      <c r="A338" s="18">
        <v>308</v>
      </c>
      <c r="B338" s="5">
        <v>-2.844293130070176E-2</v>
      </c>
    </row>
    <row r="339" spans="1:2" x14ac:dyDescent="0.25">
      <c r="A339" s="18">
        <v>309</v>
      </c>
      <c r="B339" s="5">
        <v>2.0765933496894498E-2</v>
      </c>
    </row>
    <row r="340" spans="1:2" x14ac:dyDescent="0.25">
      <c r="A340" s="18">
        <v>310</v>
      </c>
      <c r="B340" s="5">
        <v>-9.9434224011880554E-4</v>
      </c>
    </row>
    <row r="341" spans="1:2" x14ac:dyDescent="0.25">
      <c r="A341" s="18">
        <v>311</v>
      </c>
      <c r="B341" s="5">
        <v>-3.648946718565256E-3</v>
      </c>
    </row>
    <row r="342" spans="1:2" x14ac:dyDescent="0.25">
      <c r="A342" s="18">
        <v>312</v>
      </c>
      <c r="B342" s="5">
        <v>1.8429466372952379E-2</v>
      </c>
    </row>
    <row r="343" spans="1:2" x14ac:dyDescent="0.25">
      <c r="A343" s="18">
        <v>313</v>
      </c>
      <c r="B343" s="5">
        <v>2.922775531733467E-2</v>
      </c>
    </row>
    <row r="344" spans="1:2" x14ac:dyDescent="0.25">
      <c r="A344" s="18">
        <v>314</v>
      </c>
      <c r="B344" s="5">
        <v>5.4257736154835527E-2</v>
      </c>
    </row>
    <row r="345" spans="1:2" x14ac:dyDescent="0.25">
      <c r="A345" s="18">
        <v>315</v>
      </c>
      <c r="B345" s="5">
        <v>1.5092600149373902E-2</v>
      </c>
    </row>
    <row r="346" spans="1:2" x14ac:dyDescent="0.25">
      <c r="A346" s="18">
        <v>316</v>
      </c>
      <c r="B346" s="5">
        <v>5.4869531348994964E-2</v>
      </c>
    </row>
    <row r="347" spans="1:2" x14ac:dyDescent="0.25">
      <c r="A347" s="18">
        <v>317</v>
      </c>
      <c r="B347" s="5">
        <v>3.1801808201140397E-2</v>
      </c>
    </row>
    <row r="348" spans="1:2" x14ac:dyDescent="0.25">
      <c r="A348" s="18">
        <v>318</v>
      </c>
      <c r="B348" s="5">
        <v>1.8402135352643959E-2</v>
      </c>
    </row>
    <row r="349" spans="1:2" x14ac:dyDescent="0.25">
      <c r="A349" s="18">
        <v>319</v>
      </c>
      <c r="B349" s="5">
        <v>4.5647118147753435E-2</v>
      </c>
    </row>
    <row r="350" spans="1:2" x14ac:dyDescent="0.25">
      <c r="A350" s="18">
        <v>320</v>
      </c>
      <c r="B350" s="5">
        <v>3.1107739995209521E-2</v>
      </c>
    </row>
    <row r="351" spans="1:2" x14ac:dyDescent="0.25">
      <c r="A351" s="18">
        <v>321</v>
      </c>
      <c r="B351" s="5">
        <v>3.1804976062676099E-2</v>
      </c>
    </row>
    <row r="352" spans="1:2" x14ac:dyDescent="0.25">
      <c r="A352" s="18">
        <v>322</v>
      </c>
      <c r="B352" s="5">
        <v>4.5765407878217625E-2</v>
      </c>
    </row>
    <row r="353" spans="1:2" x14ac:dyDescent="0.25">
      <c r="A353" s="18">
        <v>323</v>
      </c>
      <c r="B353" s="5">
        <v>1.7812395175119011E-2</v>
      </c>
    </row>
    <row r="354" spans="1:2" x14ac:dyDescent="0.25">
      <c r="A354" s="18">
        <v>324</v>
      </c>
      <c r="B354" s="5">
        <v>-4.3000025581339165E-3</v>
      </c>
    </row>
    <row r="355" spans="1:2" x14ac:dyDescent="0.25">
      <c r="A355" s="18">
        <v>325</v>
      </c>
      <c r="B355" s="5">
        <v>-9.6095677532915431E-3</v>
      </c>
    </row>
    <row r="356" spans="1:2" x14ac:dyDescent="0.25">
      <c r="A356" s="18">
        <v>326</v>
      </c>
      <c r="B356" s="5">
        <v>-6.1763026249045064E-3</v>
      </c>
    </row>
    <row r="357" spans="1:2" x14ac:dyDescent="0.25">
      <c r="A357" s="18">
        <v>327</v>
      </c>
      <c r="B357" s="5">
        <v>-1.3440088297106361E-2</v>
      </c>
    </row>
    <row r="358" spans="1:2" x14ac:dyDescent="0.25">
      <c r="A358" s="18">
        <v>328</v>
      </c>
      <c r="B358" s="5">
        <v>3.1541593743049656E-2</v>
      </c>
    </row>
    <row r="359" spans="1:2" x14ac:dyDescent="0.25">
      <c r="A359" s="18">
        <v>329</v>
      </c>
      <c r="B359" s="5">
        <v>-3.9448846133853466E-2</v>
      </c>
    </row>
    <row r="360" spans="1:2" x14ac:dyDescent="0.25">
      <c r="A360" s="18">
        <v>330</v>
      </c>
      <c r="B360" s="5">
        <v>1.9017730721738214E-2</v>
      </c>
    </row>
    <row r="361" spans="1:2" x14ac:dyDescent="0.25">
      <c r="A361" s="18">
        <v>331</v>
      </c>
      <c r="B361" s="5">
        <v>4.9676994315981667E-2</v>
      </c>
    </row>
    <row r="362" spans="1:2" x14ac:dyDescent="0.25">
      <c r="A362" s="18">
        <v>332</v>
      </c>
      <c r="B362" s="5">
        <v>1.2907658460190626E-2</v>
      </c>
    </row>
    <row r="363" spans="1:2" x14ac:dyDescent="0.25">
      <c r="A363" s="18">
        <v>333</v>
      </c>
      <c r="B363" s="5">
        <v>1.725115439619716E-2</v>
      </c>
    </row>
    <row r="364" spans="1:2" x14ac:dyDescent="0.25">
      <c r="A364" s="18">
        <v>334</v>
      </c>
      <c r="B364" s="5">
        <v>7.2590688046747604E-3</v>
      </c>
    </row>
    <row r="365" spans="1:2" x14ac:dyDescent="0.25">
      <c r="A365" s="18">
        <v>335</v>
      </c>
      <c r="B365" s="5">
        <v>-1.8641774073078748E-2</v>
      </c>
    </row>
    <row r="366" spans="1:2" x14ac:dyDescent="0.25">
      <c r="A366" s="18">
        <v>336</v>
      </c>
      <c r="B366" s="5">
        <v>2.2918223318433455E-2</v>
      </c>
    </row>
    <row r="367" spans="1:2" x14ac:dyDescent="0.25">
      <c r="A367" s="18">
        <v>337</v>
      </c>
      <c r="B367" s="5">
        <v>-1.5062788790403445E-2</v>
      </c>
    </row>
    <row r="368" spans="1:2" x14ac:dyDescent="0.25">
      <c r="A368" s="18">
        <v>338</v>
      </c>
      <c r="B368" s="5">
        <v>2.8410494975080559E-2</v>
      </c>
    </row>
    <row r="369" spans="1:2" x14ac:dyDescent="0.25">
      <c r="A369" s="18">
        <v>339</v>
      </c>
      <c r="B369" s="5">
        <v>3.1875521762550645E-2</v>
      </c>
    </row>
    <row r="370" spans="1:2" x14ac:dyDescent="0.25">
      <c r="A370" s="18">
        <v>340</v>
      </c>
      <c r="B370" s="5">
        <v>3.7132415219548867E-2</v>
      </c>
    </row>
    <row r="371" spans="1:2" x14ac:dyDescent="0.25">
      <c r="A371" s="18">
        <v>341</v>
      </c>
      <c r="B371" s="5">
        <v>1.7029819941139664E-2</v>
      </c>
    </row>
    <row r="372" spans="1:2" x14ac:dyDescent="0.25">
      <c r="A372" s="18">
        <v>342</v>
      </c>
      <c r="B372" s="5">
        <v>1.1709648813679856E-2</v>
      </c>
    </row>
    <row r="373" spans="1:2" x14ac:dyDescent="0.25">
      <c r="A373" s="18">
        <v>343</v>
      </c>
      <c r="B373" s="5">
        <v>1.5242737246347874E-2</v>
      </c>
    </row>
    <row r="374" spans="1:2" x14ac:dyDescent="0.25">
      <c r="A374" s="18">
        <v>344</v>
      </c>
      <c r="B374" s="5">
        <v>-7.308279148268486E-3</v>
      </c>
    </row>
    <row r="375" spans="1:2" x14ac:dyDescent="0.25">
      <c r="A375" s="18">
        <v>345</v>
      </c>
      <c r="B375" s="5">
        <v>5.3756066067353215E-3</v>
      </c>
    </row>
    <row r="376" spans="1:2" x14ac:dyDescent="0.25">
      <c r="A376" s="18">
        <v>346</v>
      </c>
      <c r="B376" s="5">
        <v>2.7863500554813105E-2</v>
      </c>
    </row>
    <row r="377" spans="1:2" x14ac:dyDescent="0.25">
      <c r="A377" s="18">
        <v>347</v>
      </c>
      <c r="B377" s="5">
        <v>5.8201062509260458E-3</v>
      </c>
    </row>
    <row r="378" spans="1:2" x14ac:dyDescent="0.25">
      <c r="A378" s="18">
        <v>348</v>
      </c>
      <c r="B378" s="5">
        <v>3.5850686043936653E-2</v>
      </c>
    </row>
    <row r="379" spans="1:2" x14ac:dyDescent="0.25">
      <c r="A379" s="18">
        <v>349</v>
      </c>
      <c r="B379" s="5">
        <v>-4.5413927779448533E-2</v>
      </c>
    </row>
    <row r="380" spans="1:2" x14ac:dyDescent="0.25">
      <c r="A380" s="18">
        <v>350</v>
      </c>
      <c r="B380" s="5">
        <v>3.2833006968010364E-4</v>
      </c>
    </row>
    <row r="381" spans="1:2" x14ac:dyDescent="0.25">
      <c r="A381" s="18">
        <v>351</v>
      </c>
      <c r="B381" s="5">
        <v>-3.3410427359967576E-2</v>
      </c>
    </row>
    <row r="382" spans="1:2" x14ac:dyDescent="0.25">
      <c r="A382" s="18">
        <v>352</v>
      </c>
      <c r="B382" s="5">
        <v>3.3194891631772375E-2</v>
      </c>
    </row>
    <row r="383" spans="1:2" x14ac:dyDescent="0.25">
      <c r="A383" s="18">
        <v>353</v>
      </c>
      <c r="B383" s="5">
        <v>4.2983257243847687E-3</v>
      </c>
    </row>
    <row r="384" spans="1:2" x14ac:dyDescent="0.25">
      <c r="A384" s="18">
        <v>354</v>
      </c>
      <c r="B384" s="5">
        <v>6.8146789609489625E-2</v>
      </c>
    </row>
    <row r="385" spans="1:2" x14ac:dyDescent="0.25">
      <c r="A385" s="18">
        <v>355</v>
      </c>
      <c r="B385" s="5">
        <v>-4.0275342947244414E-2</v>
      </c>
    </row>
    <row r="386" spans="1:2" x14ac:dyDescent="0.25">
      <c r="A386" s="18">
        <v>356</v>
      </c>
      <c r="B386" s="5">
        <v>3.61914804694521E-2</v>
      </c>
    </row>
    <row r="387" spans="1:2" x14ac:dyDescent="0.25">
      <c r="A387" s="18">
        <v>357</v>
      </c>
      <c r="B387" s="5">
        <v>9.660947623737955E-3</v>
      </c>
    </row>
    <row r="388" spans="1:2" x14ac:dyDescent="0.25">
      <c r="A388" s="18">
        <v>358</v>
      </c>
      <c r="B388" s="5">
        <v>1.8801567715373082E-2</v>
      </c>
    </row>
    <row r="389" spans="1:2" x14ac:dyDescent="0.25">
      <c r="A389" s="18">
        <v>359</v>
      </c>
      <c r="B389" s="5">
        <v>-7.3971124321857594E-3</v>
      </c>
    </row>
    <row r="390" spans="1:2" x14ac:dyDescent="0.25">
      <c r="A390" s="18">
        <v>360</v>
      </c>
      <c r="B390" s="5">
        <v>1.4782377519562668E-2</v>
      </c>
    </row>
    <row r="391" spans="1:2" x14ac:dyDescent="0.25">
      <c r="A391" s="18">
        <v>361</v>
      </c>
      <c r="B391" s="5">
        <v>1.9674140689346142E-2</v>
      </c>
    </row>
    <row r="392" spans="1:2" x14ac:dyDescent="0.25">
      <c r="A392" s="18">
        <v>362</v>
      </c>
      <c r="B392" s="5">
        <v>1.1245141556067762E-3</v>
      </c>
    </row>
    <row r="393" spans="1:2" x14ac:dyDescent="0.25">
      <c r="A393" s="18">
        <v>363</v>
      </c>
      <c r="B393" s="5">
        <v>-2.6138868656669749E-2</v>
      </c>
    </row>
    <row r="394" spans="1:2" x14ac:dyDescent="0.25">
      <c r="A394" s="18">
        <v>364</v>
      </c>
      <c r="B394" s="5">
        <v>-2.2960296883710055E-2</v>
      </c>
    </row>
    <row r="395" spans="1:2" x14ac:dyDescent="0.25">
      <c r="A395" s="18">
        <v>365</v>
      </c>
      <c r="B395" s="5">
        <v>2.6683529318998294E-2</v>
      </c>
    </row>
    <row r="396" spans="1:2" x14ac:dyDescent="0.25">
      <c r="A396" s="18">
        <v>366</v>
      </c>
      <c r="B396" s="5">
        <v>4.0840374759528758E-2</v>
      </c>
    </row>
    <row r="397" spans="1:2" x14ac:dyDescent="0.25">
      <c r="A397" s="18">
        <v>367</v>
      </c>
      <c r="B397" s="5">
        <v>-3.2670425104642305E-2</v>
      </c>
    </row>
    <row r="398" spans="1:2" x14ac:dyDescent="0.25">
      <c r="A398" s="18">
        <v>368</v>
      </c>
      <c r="B398" s="5">
        <v>3.2787042076558706E-2</v>
      </c>
    </row>
    <row r="399" spans="1:2" x14ac:dyDescent="0.25">
      <c r="A399" s="18">
        <v>369</v>
      </c>
      <c r="B399" s="5">
        <v>-1.7251185092690021E-4</v>
      </c>
    </row>
    <row r="400" spans="1:2" x14ac:dyDescent="0.25">
      <c r="A400" s="18">
        <v>370</v>
      </c>
      <c r="B400" s="5">
        <v>3.7625321691801793E-2</v>
      </c>
    </row>
    <row r="401" spans="1:2" x14ac:dyDescent="0.25">
      <c r="A401" s="18">
        <v>371</v>
      </c>
      <c r="B401" s="5">
        <v>4.7143374535917465E-2</v>
      </c>
    </row>
    <row r="402" spans="1:2" x14ac:dyDescent="0.25">
      <c r="A402" s="18">
        <v>372</v>
      </c>
      <c r="B402" s="5">
        <v>2.1953293981487539E-2</v>
      </c>
    </row>
    <row r="403" spans="1:2" x14ac:dyDescent="0.25">
      <c r="A403" s="18">
        <v>373</v>
      </c>
      <c r="B403" s="5">
        <v>-2.5913500372934068E-2</v>
      </c>
    </row>
    <row r="404" spans="1:2" x14ac:dyDescent="0.25">
      <c r="A404" s="18">
        <v>374</v>
      </c>
      <c r="B404" s="5">
        <v>-8.3735098610201401E-3</v>
      </c>
    </row>
    <row r="405" spans="1:2" x14ac:dyDescent="0.25">
      <c r="A405" s="18">
        <v>375</v>
      </c>
      <c r="B405" s="5">
        <v>-2.7409208379710411E-3</v>
      </c>
    </row>
    <row r="406" spans="1:2" x14ac:dyDescent="0.25">
      <c r="A406" s="18">
        <v>376</v>
      </c>
      <c r="B406" s="5">
        <v>-3.0527010377816837E-2</v>
      </c>
    </row>
    <row r="407" spans="1:2" x14ac:dyDescent="0.25">
      <c r="A407" s="18">
        <v>377</v>
      </c>
      <c r="B407" s="5">
        <v>4.1625672815335506E-3</v>
      </c>
    </row>
    <row r="408" spans="1:2" x14ac:dyDescent="0.25">
      <c r="A408" s="18">
        <v>378</v>
      </c>
      <c r="B408" s="5">
        <v>-6.2227875452891476E-3</v>
      </c>
    </row>
    <row r="409" spans="1:2" x14ac:dyDescent="0.25">
      <c r="A409" s="18">
        <v>379</v>
      </c>
      <c r="B409" s="5">
        <v>1.2656160452218942E-2</v>
      </c>
    </row>
    <row r="410" spans="1:2" x14ac:dyDescent="0.25">
      <c r="A410" s="18">
        <v>380</v>
      </c>
      <c r="B410" s="5">
        <v>2.527502160841023E-2</v>
      </c>
    </row>
    <row r="411" spans="1:2" x14ac:dyDescent="0.25">
      <c r="A411" s="18">
        <v>381</v>
      </c>
      <c r="B411" s="5">
        <v>-1.9525567640345208E-2</v>
      </c>
    </row>
    <row r="412" spans="1:2" x14ac:dyDescent="0.25">
      <c r="A412" s="18">
        <v>382</v>
      </c>
      <c r="B412" s="5">
        <v>3.562970362523192E-2</v>
      </c>
    </row>
    <row r="413" spans="1:2" x14ac:dyDescent="0.25">
      <c r="A413" s="18">
        <v>383</v>
      </c>
      <c r="B413" s="5">
        <v>-1.3731659661963408E-2</v>
      </c>
    </row>
    <row r="414" spans="1:2" x14ac:dyDescent="0.25">
      <c r="A414" s="18">
        <v>384</v>
      </c>
      <c r="B414" s="5">
        <v>5.6195567581339909E-2</v>
      </c>
    </row>
    <row r="415" spans="1:2" x14ac:dyDescent="0.25">
      <c r="A415" s="18">
        <v>385</v>
      </c>
      <c r="B415" s="5">
        <v>1.9977586727408875E-2</v>
      </c>
    </row>
    <row r="416" spans="1:2" x14ac:dyDescent="0.25">
      <c r="A416" s="18">
        <v>386</v>
      </c>
      <c r="B416" s="5">
        <v>-2.977365146621826E-2</v>
      </c>
    </row>
    <row r="417" spans="1:2" x14ac:dyDescent="0.25">
      <c r="A417" s="18">
        <v>387</v>
      </c>
      <c r="B417" s="5">
        <v>4.1714118480450958E-2</v>
      </c>
    </row>
    <row r="418" spans="1:2" x14ac:dyDescent="0.25">
      <c r="A418" s="18">
        <v>388</v>
      </c>
      <c r="B418" s="5">
        <v>1.2948032354419152E-2</v>
      </c>
    </row>
    <row r="419" spans="1:2" x14ac:dyDescent="0.25">
      <c r="A419" s="18">
        <v>389</v>
      </c>
      <c r="B419" s="5">
        <v>2.555510403799675E-2</v>
      </c>
    </row>
    <row r="420" spans="1:2" x14ac:dyDescent="0.25">
      <c r="A420" s="18">
        <v>390</v>
      </c>
      <c r="B420" s="5">
        <v>6.868475766993952E-2</v>
      </c>
    </row>
    <row r="421" spans="1:2" x14ac:dyDescent="0.25">
      <c r="A421" s="18">
        <v>391</v>
      </c>
      <c r="B421" s="5">
        <v>9.6893771182829987E-3</v>
      </c>
    </row>
    <row r="422" spans="1:2" x14ac:dyDescent="0.25">
      <c r="A422" s="18">
        <v>392</v>
      </c>
      <c r="B422" s="5">
        <v>2.0293965251074048E-2</v>
      </c>
    </row>
    <row r="423" spans="1:2" x14ac:dyDescent="0.25">
      <c r="A423" s="18">
        <v>393</v>
      </c>
      <c r="B423" s="5">
        <v>4.8824386975691816E-2</v>
      </c>
    </row>
    <row r="424" spans="1:2" x14ac:dyDescent="0.25">
      <c r="A424" s="18">
        <v>394</v>
      </c>
      <c r="B424" s="5">
        <v>7.8297035008929559E-3</v>
      </c>
    </row>
    <row r="425" spans="1:2" x14ac:dyDescent="0.25">
      <c r="A425" s="18">
        <v>395</v>
      </c>
      <c r="B425" s="5">
        <v>-5.7425922192535978E-2</v>
      </c>
    </row>
    <row r="426" spans="1:2" x14ac:dyDescent="0.25">
      <c r="A426" s="18">
        <v>396</v>
      </c>
      <c r="B426" s="5">
        <v>3.5237723875545758E-3</v>
      </c>
    </row>
    <row r="427" spans="1:2" x14ac:dyDescent="0.25">
      <c r="A427" s="18">
        <v>397</v>
      </c>
      <c r="B427" s="5">
        <v>6.0046714571870101E-3</v>
      </c>
    </row>
    <row r="428" spans="1:2" x14ac:dyDescent="0.25">
      <c r="A428" s="18">
        <v>398</v>
      </c>
      <c r="B428" s="5">
        <v>5.0114829946501212E-3</v>
      </c>
    </row>
    <row r="429" spans="1:2" x14ac:dyDescent="0.25">
      <c r="A429" s="18">
        <v>399</v>
      </c>
      <c r="B429" s="5">
        <v>-5.4805000547931016E-3</v>
      </c>
    </row>
    <row r="430" spans="1:2" x14ac:dyDescent="0.25">
      <c r="A430" s="18">
        <v>400</v>
      </c>
      <c r="B430" s="5">
        <v>2.7709618580902661E-3</v>
      </c>
    </row>
    <row r="431" spans="1:2" x14ac:dyDescent="0.25">
      <c r="A431" s="18">
        <v>401</v>
      </c>
      <c r="B431" s="5">
        <v>2.3429837135518661E-2</v>
      </c>
    </row>
    <row r="432" spans="1:2" x14ac:dyDescent="0.25">
      <c r="A432" s="18">
        <v>402</v>
      </c>
      <c r="B432" s="5">
        <v>-1.2163483121212907E-2</v>
      </c>
    </row>
    <row r="433" spans="1:2" x14ac:dyDescent="0.25">
      <c r="A433" s="18">
        <v>403</v>
      </c>
      <c r="B433" s="5">
        <v>2.0445722401016948E-2</v>
      </c>
    </row>
    <row r="434" spans="1:2" x14ac:dyDescent="0.25">
      <c r="A434" s="18">
        <v>404</v>
      </c>
      <c r="B434" s="5">
        <v>-2.4817377412070074E-2</v>
      </c>
    </row>
    <row r="435" spans="1:2" x14ac:dyDescent="0.25">
      <c r="A435" s="18">
        <v>405</v>
      </c>
      <c r="B435" s="5">
        <v>-2.2717218795892384E-2</v>
      </c>
    </row>
    <row r="436" spans="1:2" x14ac:dyDescent="0.25">
      <c r="A436" s="18">
        <v>406</v>
      </c>
      <c r="B436" s="5">
        <v>9.3088667630950757E-3</v>
      </c>
    </row>
    <row r="437" spans="1:2" x14ac:dyDescent="0.25">
      <c r="A437" s="18">
        <v>407</v>
      </c>
      <c r="B437" s="5">
        <v>5.5596463642321958E-2</v>
      </c>
    </row>
    <row r="438" spans="1:2" x14ac:dyDescent="0.25">
      <c r="A438" s="18">
        <v>408</v>
      </c>
      <c r="B438" s="5">
        <v>9.8109070992222908E-2</v>
      </c>
    </row>
    <row r="439" spans="1:2" x14ac:dyDescent="0.25">
      <c r="A439" s="18">
        <v>409</v>
      </c>
      <c r="B439" s="5">
        <v>1.6153584837374484E-2</v>
      </c>
    </row>
    <row r="440" spans="1:2" x14ac:dyDescent="0.25">
      <c r="A440" s="18">
        <v>410</v>
      </c>
      <c r="B440" s="5">
        <v>3.5265054546012378E-2</v>
      </c>
    </row>
    <row r="441" spans="1:2" x14ac:dyDescent="0.25">
      <c r="A441" s="18">
        <v>411</v>
      </c>
      <c r="B441" s="5">
        <v>5.4543918487626679E-2</v>
      </c>
    </row>
    <row r="442" spans="1:2" x14ac:dyDescent="0.25">
      <c r="A442" s="18">
        <v>412</v>
      </c>
      <c r="B442" s="5">
        <v>4.9952977760473142E-3</v>
      </c>
    </row>
    <row r="443" spans="1:2" x14ac:dyDescent="0.25">
      <c r="A443" s="18">
        <v>413</v>
      </c>
      <c r="B443" s="5">
        <v>3.941463341170437E-2</v>
      </c>
    </row>
    <row r="444" spans="1:2" x14ac:dyDescent="0.25">
      <c r="A444" s="18">
        <v>414</v>
      </c>
      <c r="B444" s="5">
        <v>-3.8470436096516E-2</v>
      </c>
    </row>
    <row r="445" spans="1:2" x14ac:dyDescent="0.25">
      <c r="A445" s="18">
        <v>415</v>
      </c>
      <c r="B445" s="5">
        <v>3.6048620711165982E-3</v>
      </c>
    </row>
    <row r="446" spans="1:2" x14ac:dyDescent="0.25">
      <c r="A446" s="18">
        <v>416</v>
      </c>
      <c r="B446" s="5">
        <v>-7.046711210488831E-3</v>
      </c>
    </row>
    <row r="447" spans="1:2" x14ac:dyDescent="0.25">
      <c r="A447" s="18">
        <v>417</v>
      </c>
      <c r="B447" s="5">
        <v>2.9879174297281316E-2</v>
      </c>
    </row>
    <row r="448" spans="1:2" x14ac:dyDescent="0.25">
      <c r="A448" s="18">
        <v>418</v>
      </c>
      <c r="B448" s="5">
        <v>1.9228219769779169E-2</v>
      </c>
    </row>
    <row r="449" spans="1:2" x14ac:dyDescent="0.25">
      <c r="A449" s="18">
        <v>419</v>
      </c>
      <c r="B449" s="5">
        <v>-1.4003921233464679E-3</v>
      </c>
    </row>
    <row r="450" spans="1:2" x14ac:dyDescent="0.25">
      <c r="A450" s="18">
        <v>420</v>
      </c>
      <c r="B450" s="5">
        <v>1.1412605413807042E-2</v>
      </c>
    </row>
    <row r="451" spans="1:2" x14ac:dyDescent="0.25">
      <c r="A451" s="18">
        <v>421</v>
      </c>
      <c r="B451" s="5">
        <v>1.6311857332427161E-2</v>
      </c>
    </row>
    <row r="452" spans="1:2" x14ac:dyDescent="0.25">
      <c r="A452" s="18">
        <v>422</v>
      </c>
      <c r="B452" s="5">
        <v>2.1604188224812718E-3</v>
      </c>
    </row>
    <row r="453" spans="1:2" x14ac:dyDescent="0.25">
      <c r="A453" s="18">
        <v>423</v>
      </c>
      <c r="B453" s="5">
        <v>-2.3171894592522953E-2</v>
      </c>
    </row>
    <row r="454" spans="1:2" x14ac:dyDescent="0.25">
      <c r="A454" s="18">
        <v>424</v>
      </c>
      <c r="B454" s="5">
        <v>1.3960810182651108E-2</v>
      </c>
    </row>
    <row r="455" spans="1:2" x14ac:dyDescent="0.25">
      <c r="A455" s="18">
        <v>425</v>
      </c>
      <c r="B455" s="5">
        <v>-2.6851714851856584E-2</v>
      </c>
    </row>
    <row r="456" spans="1:2" x14ac:dyDescent="0.25">
      <c r="A456" s="18">
        <v>426</v>
      </c>
      <c r="B456" s="5">
        <v>-1.0890343376831448E-2</v>
      </c>
    </row>
    <row r="457" spans="1:2" x14ac:dyDescent="0.25">
      <c r="A457" s="18">
        <v>427</v>
      </c>
      <c r="B457" s="5">
        <v>-5.4879539624004027E-3</v>
      </c>
    </row>
    <row r="458" spans="1:2" x14ac:dyDescent="0.25">
      <c r="A458" s="18">
        <v>428</v>
      </c>
      <c r="B458" s="5">
        <v>4.4208490116040638E-2</v>
      </c>
    </row>
    <row r="459" spans="1:2" x14ac:dyDescent="0.25">
      <c r="A459" s="18">
        <v>429</v>
      </c>
      <c r="B459" s="5">
        <v>-4.3220197381341127E-2</v>
      </c>
    </row>
    <row r="460" spans="1:2" x14ac:dyDescent="0.25">
      <c r="A460" s="18">
        <v>430</v>
      </c>
      <c r="B460" s="5">
        <v>6.6197914676827979E-2</v>
      </c>
    </row>
    <row r="461" spans="1:2" x14ac:dyDescent="0.25">
      <c r="A461" s="18">
        <v>431</v>
      </c>
      <c r="B461" s="5">
        <v>2.2131947528395531E-2</v>
      </c>
    </row>
    <row r="462" spans="1:2" x14ac:dyDescent="0.25">
      <c r="A462" s="18">
        <v>432</v>
      </c>
      <c r="B462" s="5">
        <v>-3.1529846145476381E-2</v>
      </c>
    </row>
    <row r="463" spans="1:2" x14ac:dyDescent="0.25">
      <c r="A463" s="18">
        <v>433</v>
      </c>
      <c r="B463" s="5">
        <v>-3.3127865852756608E-2</v>
      </c>
    </row>
    <row r="464" spans="1:2" x14ac:dyDescent="0.25">
      <c r="A464" s="18">
        <v>434</v>
      </c>
      <c r="B464" s="5">
        <v>-2.8493773224974626E-2</v>
      </c>
    </row>
    <row r="465" spans="1:2" x14ac:dyDescent="0.25">
      <c r="A465" s="18">
        <v>435</v>
      </c>
      <c r="B465" s="5">
        <v>3.4939630456194367E-3</v>
      </c>
    </row>
    <row r="466" spans="1:2" x14ac:dyDescent="0.25">
      <c r="A466" s="18">
        <v>436</v>
      </c>
      <c r="B466" s="5">
        <v>-1.0778664398669605E-2</v>
      </c>
    </row>
    <row r="467" spans="1:2" x14ac:dyDescent="0.25">
      <c r="A467" s="18">
        <v>437</v>
      </c>
      <c r="B467" s="5">
        <v>-1.7937852798939009E-2</v>
      </c>
    </row>
    <row r="468" spans="1:2" x14ac:dyDescent="0.25">
      <c r="A468" s="18">
        <v>438</v>
      </c>
      <c r="B468" s="5">
        <v>-3.0427413773813604E-2</v>
      </c>
    </row>
    <row r="469" spans="1:2" x14ac:dyDescent="0.25">
      <c r="A469" s="18">
        <v>439</v>
      </c>
      <c r="B469" s="5">
        <v>2.2029110038358928E-2</v>
      </c>
    </row>
    <row r="470" spans="1:2" x14ac:dyDescent="0.25">
      <c r="A470" s="18">
        <v>440</v>
      </c>
      <c r="B470" s="5">
        <v>-8.9286964938238584E-3</v>
      </c>
    </row>
    <row r="471" spans="1:2" x14ac:dyDescent="0.25">
      <c r="A471" s="18">
        <v>441</v>
      </c>
      <c r="B471" s="5">
        <v>1.1495488656656174E-2</v>
      </c>
    </row>
    <row r="472" spans="1:2" x14ac:dyDescent="0.25">
      <c r="A472" s="18">
        <v>442</v>
      </c>
      <c r="B472" s="5">
        <v>5.1997405963916318E-2</v>
      </c>
    </row>
    <row r="473" spans="1:2" x14ac:dyDescent="0.25">
      <c r="A473" s="18">
        <v>443</v>
      </c>
      <c r="B473" s="5">
        <v>2.3947802075119876E-2</v>
      </c>
    </row>
    <row r="474" spans="1:2" x14ac:dyDescent="0.25">
      <c r="A474" s="18">
        <v>444</v>
      </c>
      <c r="B474" s="5">
        <v>2.8374228963105243E-2</v>
      </c>
    </row>
    <row r="475" spans="1:2" x14ac:dyDescent="0.25">
      <c r="A475" s="18">
        <v>445</v>
      </c>
      <c r="B475" s="5">
        <v>5.6208577623484537E-2</v>
      </c>
    </row>
    <row r="476" spans="1:2" x14ac:dyDescent="0.25">
      <c r="A476" s="18">
        <v>446</v>
      </c>
      <c r="B476" s="5">
        <v>4.8565593583625701E-2</v>
      </c>
    </row>
    <row r="477" spans="1:2" x14ac:dyDescent="0.25">
      <c r="A477" s="18">
        <v>447</v>
      </c>
      <c r="B477" s="5">
        <v>8.5632134257707104E-3</v>
      </c>
    </row>
    <row r="478" spans="1:2" x14ac:dyDescent="0.25">
      <c r="A478" s="18">
        <v>448</v>
      </c>
      <c r="B478" s="5">
        <v>3.4117192917802623E-2</v>
      </c>
    </row>
    <row r="479" spans="1:2" x14ac:dyDescent="0.25">
      <c r="A479" s="18">
        <v>449</v>
      </c>
      <c r="B479" s="5">
        <v>6.1904156153457596E-2</v>
      </c>
    </row>
    <row r="480" spans="1:2" x14ac:dyDescent="0.25">
      <c r="A480" s="18">
        <v>450</v>
      </c>
      <c r="B480" s="5">
        <v>1.5924031036054824E-2</v>
      </c>
    </row>
    <row r="481" spans="1:2" x14ac:dyDescent="0.25">
      <c r="A481" s="18">
        <v>451</v>
      </c>
      <c r="B481" s="5">
        <v>5.0442988813834333E-3</v>
      </c>
    </row>
    <row r="482" spans="1:2" x14ac:dyDescent="0.25">
      <c r="A482" s="18">
        <v>452</v>
      </c>
      <c r="B482" s="5">
        <v>3.0736895667757445E-3</v>
      </c>
    </row>
    <row r="483" spans="1:2" x14ac:dyDescent="0.25">
      <c r="A483" s="18">
        <v>453</v>
      </c>
      <c r="B483" s="5">
        <v>-2.9680039424384019E-2</v>
      </c>
    </row>
    <row r="484" spans="1:2" x14ac:dyDescent="0.25">
      <c r="A484" s="18">
        <v>454</v>
      </c>
      <c r="B484" s="5">
        <v>-6.9721840662744445E-3</v>
      </c>
    </row>
    <row r="485" spans="1:2" x14ac:dyDescent="0.25">
      <c r="A485" s="18">
        <v>455</v>
      </c>
      <c r="B485" s="5">
        <v>4.7687854932849313E-2</v>
      </c>
    </row>
    <row r="486" spans="1:2" x14ac:dyDescent="0.25">
      <c r="A486" s="18">
        <v>456</v>
      </c>
      <c r="B486" s="5">
        <v>3.9453751623096583E-2</v>
      </c>
    </row>
    <row r="487" spans="1:2" x14ac:dyDescent="0.25">
      <c r="A487" s="18">
        <v>457</v>
      </c>
      <c r="B487" s="5">
        <v>1.2885908866614434E-2</v>
      </c>
    </row>
    <row r="488" spans="1:2" x14ac:dyDescent="0.25">
      <c r="A488" s="18">
        <v>458</v>
      </c>
      <c r="B488" s="5">
        <v>2.599246687442534E-2</v>
      </c>
    </row>
    <row r="489" spans="1:2" x14ac:dyDescent="0.25">
      <c r="A489" s="18">
        <v>459</v>
      </c>
      <c r="B489" s="5">
        <v>2.8605305449016807E-2</v>
      </c>
    </row>
    <row r="490" spans="1:2" x14ac:dyDescent="0.25">
      <c r="A490" s="18">
        <v>460</v>
      </c>
      <c r="B490" s="5">
        <v>2.9349278797957973E-2</v>
      </c>
    </row>
    <row r="491" spans="1:2" x14ac:dyDescent="0.25">
      <c r="A491" s="18">
        <v>461</v>
      </c>
      <c r="B491" s="5">
        <v>-4.1620269592454583E-3</v>
      </c>
    </row>
    <row r="492" spans="1:2" x14ac:dyDescent="0.25">
      <c r="A492" s="18">
        <v>462</v>
      </c>
      <c r="B492" s="5">
        <v>-3.8599776633165439E-2</v>
      </c>
    </row>
    <row r="493" spans="1:2" x14ac:dyDescent="0.25">
      <c r="A493" s="18">
        <v>463</v>
      </c>
      <c r="B493" s="5">
        <v>4.9430205217939832E-3</v>
      </c>
    </row>
    <row r="494" spans="1:2" x14ac:dyDescent="0.25">
      <c r="A494" s="18">
        <v>464</v>
      </c>
      <c r="B494" s="5">
        <v>-4.6415838933915408E-3</v>
      </c>
    </row>
    <row r="495" spans="1:2" x14ac:dyDescent="0.25">
      <c r="A495" s="18">
        <v>465</v>
      </c>
      <c r="B495" s="5">
        <v>3.1304703766719469E-2</v>
      </c>
    </row>
    <row r="496" spans="1:2" x14ac:dyDescent="0.25">
      <c r="A496" s="18">
        <v>466</v>
      </c>
      <c r="B496" s="5">
        <v>1.7238271713941163E-2</v>
      </c>
    </row>
    <row r="497" spans="1:2" x14ac:dyDescent="0.25">
      <c r="A497" s="18">
        <v>467</v>
      </c>
      <c r="B497" s="5">
        <v>3.0406362888958101E-2</v>
      </c>
    </row>
    <row r="498" spans="1:2" x14ac:dyDescent="0.25">
      <c r="A498" s="18">
        <v>468</v>
      </c>
      <c r="B498" s="5">
        <v>1.2786144826303439E-3</v>
      </c>
    </row>
    <row r="499" spans="1:2" x14ac:dyDescent="0.25">
      <c r="A499" s="18">
        <v>469</v>
      </c>
      <c r="B499" s="5">
        <v>8.8140079014010185E-4</v>
      </c>
    </row>
    <row r="500" spans="1:2" x14ac:dyDescent="0.25">
      <c r="A500" s="18">
        <v>470</v>
      </c>
      <c r="B500" s="5">
        <v>8.8224460643105615E-3</v>
      </c>
    </row>
    <row r="501" spans="1:2" x14ac:dyDescent="0.25">
      <c r="A501" s="18">
        <v>471</v>
      </c>
      <c r="B501" s="5">
        <v>1.0701704049920926E-2</v>
      </c>
    </row>
    <row r="502" spans="1:2" x14ac:dyDescent="0.25">
      <c r="A502" s="18">
        <v>472</v>
      </c>
      <c r="B502" s="5">
        <v>3.7578773139535296E-2</v>
      </c>
    </row>
    <row r="503" spans="1:2" x14ac:dyDescent="0.25">
      <c r="A503" s="18">
        <v>473</v>
      </c>
      <c r="B503" s="5">
        <v>1.9031715703907146E-2</v>
      </c>
    </row>
    <row r="504" spans="1:2" x14ac:dyDescent="0.25">
      <c r="A504" s="18">
        <v>474</v>
      </c>
      <c r="B504" s="5">
        <v>-6.4570940143934795E-3</v>
      </c>
    </row>
    <row r="505" spans="1:2" x14ac:dyDescent="0.25">
      <c r="A505" s="18">
        <v>475</v>
      </c>
      <c r="B505" s="5">
        <v>-9.8028904685964514E-3</v>
      </c>
    </row>
    <row r="506" spans="1:2" x14ac:dyDescent="0.25">
      <c r="A506" s="18">
        <v>476</v>
      </c>
      <c r="B506" s="5">
        <v>-1.6736983118473232E-2</v>
      </c>
    </row>
    <row r="507" spans="1:2" x14ac:dyDescent="0.25">
      <c r="A507" s="18">
        <v>477</v>
      </c>
      <c r="B507" s="5">
        <v>-1.7074845513360835E-2</v>
      </c>
    </row>
    <row r="508" spans="1:2" x14ac:dyDescent="0.25">
      <c r="A508" s="18">
        <v>478</v>
      </c>
      <c r="B508" s="5">
        <v>-1.7162822697910512E-2</v>
      </c>
    </row>
    <row r="509" spans="1:2" x14ac:dyDescent="0.25">
      <c r="A509" s="18">
        <v>479</v>
      </c>
      <c r="B509" s="5">
        <v>5.33581583510465E-2</v>
      </c>
    </row>
    <row r="510" spans="1:2" x14ac:dyDescent="0.25">
      <c r="A510" s="18">
        <v>480</v>
      </c>
      <c r="B510" s="5">
        <v>-2.1346445891227073E-2</v>
      </c>
    </row>
    <row r="511" spans="1:2" x14ac:dyDescent="0.25">
      <c r="A511" s="18">
        <v>481</v>
      </c>
      <c r="B511" s="5">
        <v>-2.3531987544149198E-3</v>
      </c>
    </row>
    <row r="512" spans="1:2" x14ac:dyDescent="0.25">
      <c r="A512" s="18">
        <v>482</v>
      </c>
      <c r="B512" s="5">
        <v>4.0955954210788001E-2</v>
      </c>
    </row>
    <row r="513" spans="1:2" x14ac:dyDescent="0.25">
      <c r="A513" s="18">
        <v>483</v>
      </c>
      <c r="B513" s="5">
        <v>1.9583588195556608E-2</v>
      </c>
    </row>
    <row r="514" spans="1:2" x14ac:dyDescent="0.25">
      <c r="A514" s="18">
        <v>484</v>
      </c>
      <c r="B514" s="5">
        <v>1.4676001720031941E-2</v>
      </c>
    </row>
    <row r="515" spans="1:2" x14ac:dyDescent="0.25">
      <c r="A515" s="18">
        <v>485</v>
      </c>
      <c r="B515" s="5">
        <v>-4.1283118126405919E-3</v>
      </c>
    </row>
    <row r="516" spans="1:2" x14ac:dyDescent="0.25">
      <c r="A516" s="18">
        <v>486</v>
      </c>
      <c r="B516" s="5">
        <v>-1.6480577413271632E-2</v>
      </c>
    </row>
    <row r="517" spans="1:2" x14ac:dyDescent="0.25">
      <c r="A517" s="18">
        <v>487</v>
      </c>
      <c r="B517" s="5">
        <v>5.3963451333010415E-3</v>
      </c>
    </row>
    <row r="518" spans="1:2" x14ac:dyDescent="0.25">
      <c r="A518" s="18">
        <v>488</v>
      </c>
      <c r="B518" s="5">
        <v>6.9723712670230878E-2</v>
      </c>
    </row>
    <row r="519" spans="1:2" x14ac:dyDescent="0.25">
      <c r="A519" s="18">
        <v>489</v>
      </c>
      <c r="B519" s="5">
        <v>3.9912299817065414E-2</v>
      </c>
    </row>
    <row r="520" spans="1:2" x14ac:dyDescent="0.25">
      <c r="A520" s="18">
        <v>490</v>
      </c>
      <c r="B520" s="5">
        <v>-3.8779675875162643E-2</v>
      </c>
    </row>
    <row r="521" spans="1:2" x14ac:dyDescent="0.25">
      <c r="A521" s="18">
        <v>491</v>
      </c>
      <c r="B521" s="5">
        <v>5.0063086866058017E-2</v>
      </c>
    </row>
    <row r="522" spans="1:2" x14ac:dyDescent="0.25">
      <c r="A522" s="18">
        <v>492</v>
      </c>
      <c r="B522" s="5">
        <v>-1.5462161338500851E-3</v>
      </c>
    </row>
    <row r="523" spans="1:2" x14ac:dyDescent="0.25">
      <c r="A523" s="18">
        <v>493</v>
      </c>
      <c r="B523" s="5">
        <v>2.1784429051635135E-2</v>
      </c>
    </row>
    <row r="524" spans="1:2" x14ac:dyDescent="0.25">
      <c r="A524" s="18">
        <v>494</v>
      </c>
      <c r="B524" s="5">
        <v>1.2819383672541707E-2</v>
      </c>
    </row>
    <row r="525" spans="1:2" x14ac:dyDescent="0.25">
      <c r="A525" s="18">
        <v>495</v>
      </c>
      <c r="B525" s="5">
        <v>7.0961818882628869E-2</v>
      </c>
    </row>
    <row r="526" spans="1:2" x14ac:dyDescent="0.25">
      <c r="A526" s="18">
        <v>496</v>
      </c>
      <c r="B526" s="5">
        <v>-7.3373151146675936E-3</v>
      </c>
    </row>
    <row r="527" spans="1:2" x14ac:dyDescent="0.25">
      <c r="A527" s="18">
        <v>497</v>
      </c>
      <c r="B527" s="5">
        <v>1.9480751709296518E-2</v>
      </c>
    </row>
    <row r="528" spans="1:2" x14ac:dyDescent="0.25">
      <c r="A528" s="18">
        <v>498</v>
      </c>
      <c r="B528" s="5">
        <v>5.5983455238980909E-3</v>
      </c>
    </row>
    <row r="529" spans="1:2" x14ac:dyDescent="0.25">
      <c r="A529" s="18">
        <v>499</v>
      </c>
      <c r="B529" s="5">
        <v>6.4148589912018883E-2</v>
      </c>
    </row>
    <row r="530" spans="1:2" x14ac:dyDescent="0.25">
      <c r="A530" s="18">
        <v>500</v>
      </c>
      <c r="B530" s="5">
        <v>-3.662287837502843E-2</v>
      </c>
    </row>
    <row r="531" spans="1:2" x14ac:dyDescent="0.25">
      <c r="A531" s="18">
        <v>501</v>
      </c>
      <c r="B531" s="5">
        <v>4.3407477767331414E-2</v>
      </c>
    </row>
    <row r="532" spans="1:2" x14ac:dyDescent="0.25">
      <c r="A532" s="18">
        <v>502</v>
      </c>
      <c r="B532" s="5">
        <v>2.0722126241297031E-2</v>
      </c>
    </row>
    <row r="533" spans="1:2" x14ac:dyDescent="0.25">
      <c r="A533" s="18">
        <v>503</v>
      </c>
      <c r="B533" s="5">
        <v>2.7606690528547018E-2</v>
      </c>
    </row>
    <row r="534" spans="1:2" x14ac:dyDescent="0.25">
      <c r="A534" s="18">
        <v>504</v>
      </c>
      <c r="B534" s="5">
        <v>-4.6679508405974429E-5</v>
      </c>
    </row>
    <row r="535" spans="1:2" x14ac:dyDescent="0.25">
      <c r="A535" s="18">
        <v>505</v>
      </c>
      <c r="B535" s="5">
        <v>-2.1435590483371826E-2</v>
      </c>
    </row>
    <row r="536" spans="1:2" x14ac:dyDescent="0.25">
      <c r="A536" s="18">
        <v>506</v>
      </c>
      <c r="B536" s="5">
        <v>1.95145637974567E-2</v>
      </c>
    </row>
    <row r="537" spans="1:2" x14ac:dyDescent="0.25">
      <c r="A537" s="18">
        <v>507</v>
      </c>
      <c r="B537" s="5">
        <v>-2.676298379018599E-2</v>
      </c>
    </row>
    <row r="538" spans="1:2" x14ac:dyDescent="0.25">
      <c r="A538" s="18">
        <v>508</v>
      </c>
      <c r="B538" s="5">
        <v>-1.0227594966311706E-2</v>
      </c>
    </row>
    <row r="539" spans="1:2" x14ac:dyDescent="0.25">
      <c r="A539" s="18">
        <v>509</v>
      </c>
      <c r="B539" s="5">
        <v>-1.6126676231255677E-2</v>
      </c>
    </row>
    <row r="540" spans="1:2" x14ac:dyDescent="0.25">
      <c r="A540" s="18">
        <v>510</v>
      </c>
      <c r="B540" s="5">
        <v>-1.2323841049472904E-2</v>
      </c>
    </row>
    <row r="541" spans="1:2" x14ac:dyDescent="0.25">
      <c r="A541" s="18">
        <v>511</v>
      </c>
      <c r="B541" s="5">
        <v>-8.0712492187122765E-3</v>
      </c>
    </row>
    <row r="542" spans="1:2" x14ac:dyDescent="0.25">
      <c r="A542" s="18">
        <v>512</v>
      </c>
      <c r="B542" s="5">
        <v>1.1100580235187778E-2</v>
      </c>
    </row>
    <row r="543" spans="1:2" x14ac:dyDescent="0.25">
      <c r="A543" s="18">
        <v>513</v>
      </c>
      <c r="B543" s="5">
        <v>6.9612358692589908E-3</v>
      </c>
    </row>
    <row r="544" spans="1:2" x14ac:dyDescent="0.25">
      <c r="A544" s="18">
        <v>514</v>
      </c>
      <c r="B544" s="5">
        <v>-3.3766704828562276E-2</v>
      </c>
    </row>
    <row r="545" spans="1:2" x14ac:dyDescent="0.25">
      <c r="A545" s="18">
        <v>515</v>
      </c>
      <c r="B545" s="5">
        <v>-4.3424406523917573E-3</v>
      </c>
    </row>
    <row r="546" spans="1:2" x14ac:dyDescent="0.25">
      <c r="A546" s="18">
        <v>516</v>
      </c>
      <c r="B546" s="5">
        <v>8.28616985978467E-3</v>
      </c>
    </row>
    <row r="547" spans="1:2" x14ac:dyDescent="0.25">
      <c r="A547" s="18">
        <v>517</v>
      </c>
      <c r="B547" s="5">
        <v>-3.1848404765887203E-3</v>
      </c>
    </row>
    <row r="548" spans="1:2" x14ac:dyDescent="0.25">
      <c r="A548" s="18">
        <v>518</v>
      </c>
      <c r="B548" s="5">
        <v>3.5019709932869028E-2</v>
      </c>
    </row>
    <row r="549" spans="1:2" x14ac:dyDescent="0.25">
      <c r="A549" s="18">
        <v>519</v>
      </c>
      <c r="B549" s="5">
        <v>-2.2605479237432524E-3</v>
      </c>
    </row>
    <row r="550" spans="1:2" x14ac:dyDescent="0.25">
      <c r="A550" s="18">
        <v>520</v>
      </c>
      <c r="B550" s="5">
        <v>2.4398729047699078E-2</v>
      </c>
    </row>
    <row r="551" spans="1:2" x14ac:dyDescent="0.25">
      <c r="A551" s="18">
        <v>521</v>
      </c>
      <c r="B551" s="5">
        <v>4.1394938650939281E-3</v>
      </c>
    </row>
    <row r="552" spans="1:2" x14ac:dyDescent="0.25">
      <c r="A552" s="18">
        <v>522</v>
      </c>
      <c r="B552" s="5">
        <v>-1.7248475943140069E-2</v>
      </c>
    </row>
    <row r="553" spans="1:2" x14ac:dyDescent="0.25">
      <c r="A553" s="18">
        <v>523</v>
      </c>
      <c r="B553" s="5">
        <v>-2.3415588428567389E-3</v>
      </c>
    </row>
    <row r="554" spans="1:2" x14ac:dyDescent="0.25">
      <c r="A554" s="18">
        <v>524</v>
      </c>
      <c r="B554" s="5">
        <v>1.4315849685825263E-2</v>
      </c>
    </row>
    <row r="555" spans="1:2" x14ac:dyDescent="0.25">
      <c r="A555" s="18">
        <v>525</v>
      </c>
      <c r="B555" s="5">
        <v>9.6552754329661504E-3</v>
      </c>
    </row>
    <row r="556" spans="1:2" x14ac:dyDescent="0.25">
      <c r="A556" s="18">
        <v>526</v>
      </c>
      <c r="B556" s="5">
        <v>-2.6111080621657103E-2</v>
      </c>
    </row>
    <row r="557" spans="1:2" x14ac:dyDescent="0.25">
      <c r="A557" s="18">
        <v>527</v>
      </c>
      <c r="B557" s="5">
        <v>-3.2986683160114938E-2</v>
      </c>
    </row>
    <row r="558" spans="1:2" x14ac:dyDescent="0.25">
      <c r="A558" s="18">
        <v>528</v>
      </c>
      <c r="B558" s="5">
        <v>1.1673635004011923E-2</v>
      </c>
    </row>
    <row r="559" spans="1:2" x14ac:dyDescent="0.25">
      <c r="A559" s="18">
        <v>529</v>
      </c>
      <c r="B559" s="5">
        <v>-4.7118452674698875E-3</v>
      </c>
    </row>
    <row r="560" spans="1:2" x14ac:dyDescent="0.25">
      <c r="A560" s="18">
        <v>530</v>
      </c>
      <c r="B560" s="5">
        <v>-3.4059907818501794E-2</v>
      </c>
    </row>
    <row r="561" spans="1:2" x14ac:dyDescent="0.25">
      <c r="A561" s="18">
        <v>531</v>
      </c>
      <c r="B561" s="5">
        <v>3.7824319034020032E-2</v>
      </c>
    </row>
    <row r="562" spans="1:2" x14ac:dyDescent="0.25">
      <c r="A562" s="18">
        <v>532</v>
      </c>
      <c r="B562" s="5">
        <v>-3.0795811184176427E-2</v>
      </c>
    </row>
    <row r="563" spans="1:2" x14ac:dyDescent="0.25">
      <c r="A563" s="18">
        <v>533</v>
      </c>
      <c r="B563" s="5">
        <v>9.3175509699343594E-3</v>
      </c>
    </row>
    <row r="564" spans="1:2" x14ac:dyDescent="0.25">
      <c r="A564" s="18">
        <v>534</v>
      </c>
      <c r="B564" s="5">
        <v>-6.13597317857367E-3</v>
      </c>
    </row>
    <row r="565" spans="1:2" x14ac:dyDescent="0.25">
      <c r="A565" s="18">
        <v>535</v>
      </c>
      <c r="B565" s="5">
        <v>-7.0582429162705546E-2</v>
      </c>
    </row>
    <row r="566" spans="1:2" x14ac:dyDescent="0.25">
      <c r="A566" s="18">
        <v>536</v>
      </c>
      <c r="B566" s="5">
        <v>2.7316990664011869E-2</v>
      </c>
    </row>
    <row r="567" spans="1:2" x14ac:dyDescent="0.25">
      <c r="A567" s="18">
        <v>537</v>
      </c>
      <c r="B567" s="5">
        <v>1.9813538894292038E-2</v>
      </c>
    </row>
    <row r="568" spans="1:2" x14ac:dyDescent="0.25">
      <c r="A568" s="18">
        <v>538</v>
      </c>
      <c r="B568" s="5">
        <v>3.7878694628654423E-3</v>
      </c>
    </row>
    <row r="569" spans="1:2" x14ac:dyDescent="0.25">
      <c r="A569" s="18">
        <v>539</v>
      </c>
      <c r="B569" s="5">
        <v>2.8027187997205168E-2</v>
      </c>
    </row>
    <row r="570" spans="1:2" x14ac:dyDescent="0.25">
      <c r="A570" s="18">
        <v>540</v>
      </c>
      <c r="B570" s="5">
        <v>3.4326443370381862E-2</v>
      </c>
    </row>
    <row r="571" spans="1:2" x14ac:dyDescent="0.25">
      <c r="A571" s="18">
        <v>541</v>
      </c>
      <c r="B571" s="5">
        <v>-2.2967756769401045E-2</v>
      </c>
    </row>
    <row r="572" spans="1:2" x14ac:dyDescent="0.25">
      <c r="A572" s="18">
        <v>542</v>
      </c>
      <c r="B572" s="5">
        <v>3.5790695780210146E-3</v>
      </c>
    </row>
    <row r="573" spans="1:2" x14ac:dyDescent="0.25">
      <c r="A573" s="18">
        <v>543</v>
      </c>
      <c r="B573" s="5">
        <v>3.5587176751629562E-2</v>
      </c>
    </row>
    <row r="574" spans="1:2" x14ac:dyDescent="0.25">
      <c r="A574" s="18">
        <v>544</v>
      </c>
      <c r="B574" s="5">
        <v>8.3189348656843212E-3</v>
      </c>
    </row>
    <row r="575" spans="1:2" x14ac:dyDescent="0.25">
      <c r="A575" s="18">
        <v>545</v>
      </c>
      <c r="B575" s="5">
        <v>-3.8079385577307612E-2</v>
      </c>
    </row>
    <row r="576" spans="1:2" x14ac:dyDescent="0.25">
      <c r="A576" s="18">
        <v>546</v>
      </c>
      <c r="B576" s="5">
        <v>4.4539560319436601E-2</v>
      </c>
    </row>
    <row r="577" spans="1:2" x14ac:dyDescent="0.25">
      <c r="A577" s="18">
        <v>547</v>
      </c>
      <c r="B577" s="5">
        <v>2.2401240451754852E-2</v>
      </c>
    </row>
    <row r="578" spans="1:2" x14ac:dyDescent="0.25">
      <c r="A578" s="18">
        <v>548</v>
      </c>
      <c r="B578" s="5">
        <v>1.6563937777860811E-2</v>
      </c>
    </row>
    <row r="579" spans="1:2" x14ac:dyDescent="0.25">
      <c r="A579" s="18">
        <v>549</v>
      </c>
      <c r="B579" s="5">
        <v>1.714712680602682E-2</v>
      </c>
    </row>
    <row r="580" spans="1:2" x14ac:dyDescent="0.25">
      <c r="A580" s="18">
        <v>550</v>
      </c>
      <c r="B580" s="5">
        <v>4.2513836984787036E-2</v>
      </c>
    </row>
    <row r="581" spans="1:2" x14ac:dyDescent="0.25">
      <c r="A581" s="18">
        <v>551</v>
      </c>
      <c r="B581" s="5">
        <v>-2.1067411430830695E-2</v>
      </c>
    </row>
    <row r="582" spans="1:2" x14ac:dyDescent="0.25">
      <c r="A582" s="18">
        <v>552</v>
      </c>
      <c r="B582" s="5">
        <v>1.3352491341426017E-3</v>
      </c>
    </row>
    <row r="583" spans="1:2" x14ac:dyDescent="0.25">
      <c r="A583" s="18">
        <v>553</v>
      </c>
      <c r="B583" s="5">
        <v>3.485467052038168E-2</v>
      </c>
    </row>
    <row r="584" spans="1:2" x14ac:dyDescent="0.25">
      <c r="A584" s="18">
        <v>554</v>
      </c>
      <c r="B584" s="5">
        <v>2.2252139210056834E-2</v>
      </c>
    </row>
    <row r="585" spans="1:2" x14ac:dyDescent="0.25">
      <c r="A585" s="18">
        <v>555</v>
      </c>
      <c r="B585" s="5">
        <v>6.0451912056203205E-2</v>
      </c>
    </row>
    <row r="586" spans="1:2" x14ac:dyDescent="0.25">
      <c r="A586" s="18">
        <v>556</v>
      </c>
      <c r="B586" s="5">
        <v>2.0225450573665423E-2</v>
      </c>
    </row>
    <row r="587" spans="1:2" x14ac:dyDescent="0.25">
      <c r="A587" s="18">
        <v>557</v>
      </c>
      <c r="B587" s="5">
        <v>4.5058688521273475E-3</v>
      </c>
    </row>
    <row r="588" spans="1:2" x14ac:dyDescent="0.25">
      <c r="A588" s="18">
        <v>558</v>
      </c>
      <c r="B588" s="5">
        <v>3.3718766904947656E-2</v>
      </c>
    </row>
    <row r="589" spans="1:2" x14ac:dyDescent="0.25">
      <c r="A589" s="18">
        <v>559</v>
      </c>
      <c r="B589" s="5">
        <v>1.7793519285758091E-2</v>
      </c>
    </row>
    <row r="590" spans="1:2" x14ac:dyDescent="0.25">
      <c r="A590" s="18">
        <v>560</v>
      </c>
      <c r="B590" s="5">
        <v>-2.0295123530107928E-2</v>
      </c>
    </row>
    <row r="591" spans="1:2" x14ac:dyDescent="0.25">
      <c r="A591" s="18">
        <v>561</v>
      </c>
      <c r="B591" s="5">
        <v>-1.4890056670654839E-2</v>
      </c>
    </row>
    <row r="592" spans="1:2" x14ac:dyDescent="0.25">
      <c r="A592" s="18">
        <v>562</v>
      </c>
      <c r="B592" s="5">
        <v>2.3151340372963899E-2</v>
      </c>
    </row>
    <row r="593" spans="1:2" x14ac:dyDescent="0.25">
      <c r="A593" s="18">
        <v>563</v>
      </c>
      <c r="B593" s="5">
        <v>5.6650385306171371E-2</v>
      </c>
    </row>
    <row r="594" spans="1:2" x14ac:dyDescent="0.25">
      <c r="A594" s="18">
        <v>564</v>
      </c>
      <c r="B594" s="5">
        <v>-3.5263569543485611E-3</v>
      </c>
    </row>
    <row r="595" spans="1:2" x14ac:dyDescent="0.25">
      <c r="A595" s="18">
        <v>565</v>
      </c>
      <c r="B595" s="5">
        <v>9.9308468221078194E-3</v>
      </c>
    </row>
    <row r="596" spans="1:2" x14ac:dyDescent="0.25">
      <c r="A596" s="18">
        <v>566</v>
      </c>
      <c r="B596" s="5">
        <v>4.7553773958347013E-2</v>
      </c>
    </row>
    <row r="597" spans="1:2" x14ac:dyDescent="0.25">
      <c r="A597" s="18">
        <v>567</v>
      </c>
      <c r="B597" s="5">
        <v>3.4135614127679584E-2</v>
      </c>
    </row>
    <row r="598" spans="1:2" x14ac:dyDescent="0.25">
      <c r="A598" s="18">
        <v>568</v>
      </c>
      <c r="B598" s="5">
        <v>-3.8730635618326473E-2</v>
      </c>
    </row>
    <row r="599" spans="1:2" x14ac:dyDescent="0.25">
      <c r="A599" s="18">
        <v>569</v>
      </c>
      <c r="B599" s="5">
        <v>-1.121973075834096E-2</v>
      </c>
    </row>
    <row r="600" spans="1:2" x14ac:dyDescent="0.25">
      <c r="A600" s="18">
        <v>570</v>
      </c>
      <c r="B600" s="5">
        <v>3.9759798386553885E-2</v>
      </c>
    </row>
    <row r="601" spans="1:2" x14ac:dyDescent="0.25">
      <c r="A601" s="18">
        <v>571</v>
      </c>
      <c r="B601" s="5">
        <v>-9.7358264577974869E-3</v>
      </c>
    </row>
    <row r="602" spans="1:2" x14ac:dyDescent="0.25">
      <c r="A602" s="18">
        <v>572</v>
      </c>
      <c r="B602" s="5">
        <v>2.0263601325880346E-2</v>
      </c>
    </row>
    <row r="603" spans="1:2" x14ac:dyDescent="0.25">
      <c r="A603" s="18">
        <v>573</v>
      </c>
      <c r="B603" s="5">
        <v>4.0352214663862608E-2</v>
      </c>
    </row>
    <row r="604" spans="1:2" x14ac:dyDescent="0.25">
      <c r="A604" s="18">
        <v>574</v>
      </c>
      <c r="B604" s="5">
        <v>5.8272793517862645E-2</v>
      </c>
    </row>
    <row r="605" spans="1:2" x14ac:dyDescent="0.25">
      <c r="A605" s="18">
        <v>575</v>
      </c>
      <c r="B605" s="5">
        <v>2.6768683089975868E-3</v>
      </c>
    </row>
    <row r="606" spans="1:2" x14ac:dyDescent="0.25">
      <c r="A606" s="18">
        <v>576</v>
      </c>
      <c r="B606" s="5">
        <v>2.7006503157336229E-2</v>
      </c>
    </row>
    <row r="607" spans="1:2" x14ac:dyDescent="0.25">
      <c r="A607" s="18">
        <v>577</v>
      </c>
      <c r="B607" s="5">
        <v>-2.8880521546639608E-3</v>
      </c>
    </row>
    <row r="608" spans="1:2" x14ac:dyDescent="0.25">
      <c r="A608" s="18">
        <v>578</v>
      </c>
      <c r="B608" s="5">
        <v>1.0699299346991174E-2</v>
      </c>
    </row>
    <row r="609" spans="1:2" x14ac:dyDescent="0.25">
      <c r="A609" s="18">
        <v>579</v>
      </c>
      <c r="B609" s="5">
        <v>6.975787242012231E-2</v>
      </c>
    </row>
    <row r="610" spans="1:2" x14ac:dyDescent="0.25">
      <c r="A610" s="18">
        <v>580</v>
      </c>
      <c r="B610" s="5">
        <v>-1.407288706608302E-2</v>
      </c>
    </row>
    <row r="611" spans="1:2" x14ac:dyDescent="0.25">
      <c r="A611" s="18">
        <v>581</v>
      </c>
      <c r="B611" s="5">
        <v>3.5583212071339673E-2</v>
      </c>
    </row>
    <row r="612" spans="1:2" x14ac:dyDescent="0.25">
      <c r="A612" s="18">
        <v>582</v>
      </c>
      <c r="B612" s="5">
        <v>6.3054952446394794E-2</v>
      </c>
    </row>
    <row r="613" spans="1:2" x14ac:dyDescent="0.25">
      <c r="A613" s="18">
        <v>583</v>
      </c>
      <c r="B613" s="5">
        <v>-1.3991365514606578E-2</v>
      </c>
    </row>
    <row r="614" spans="1:2" x14ac:dyDescent="0.25">
      <c r="A614" s="18">
        <v>584</v>
      </c>
      <c r="B614" s="5">
        <v>3.4447184148268445E-2</v>
      </c>
    </row>
    <row r="615" spans="1:2" x14ac:dyDescent="0.25">
      <c r="A615" s="18">
        <v>585</v>
      </c>
      <c r="B615" s="5">
        <v>4.1423842935374544E-2</v>
      </c>
    </row>
    <row r="616" spans="1:2" x14ac:dyDescent="0.25">
      <c r="A616" s="18">
        <v>586</v>
      </c>
      <c r="B616" s="5">
        <v>9.8941464766758597E-3</v>
      </c>
    </row>
    <row r="617" spans="1:2" x14ac:dyDescent="0.25">
      <c r="A617" s="18">
        <v>587</v>
      </c>
      <c r="B617" s="5">
        <v>8.3134698503414348E-3</v>
      </c>
    </row>
    <row r="618" spans="1:2" x14ac:dyDescent="0.25">
      <c r="A618" s="18">
        <v>588</v>
      </c>
      <c r="B618" s="5">
        <v>1.1952344709783607E-2</v>
      </c>
    </row>
    <row r="619" spans="1:2" x14ac:dyDescent="0.25">
      <c r="A619" s="18">
        <v>589</v>
      </c>
      <c r="B619" s="5">
        <v>1.5645924037566056E-2</v>
      </c>
    </row>
    <row r="620" spans="1:2" x14ac:dyDescent="0.25">
      <c r="A620" s="18">
        <v>590</v>
      </c>
      <c r="B620" s="5">
        <v>-3.3160807521714762E-2</v>
      </c>
    </row>
    <row r="621" spans="1:2" x14ac:dyDescent="0.25">
      <c r="A621" s="18">
        <v>591</v>
      </c>
      <c r="B621" s="5">
        <v>2.6426220874790915E-3</v>
      </c>
    </row>
    <row r="622" spans="1:2" x14ac:dyDescent="0.25">
      <c r="A622" s="18">
        <v>592</v>
      </c>
      <c r="B622" s="5">
        <v>-2.6894213616035507E-2</v>
      </c>
    </row>
    <row r="623" spans="1:2" x14ac:dyDescent="0.25">
      <c r="A623" s="18">
        <v>593</v>
      </c>
      <c r="B623" s="5">
        <v>-1.1758447642113111E-2</v>
      </c>
    </row>
    <row r="624" spans="1:2" x14ac:dyDescent="0.25">
      <c r="A624" s="18">
        <v>594</v>
      </c>
      <c r="B624" s="5">
        <v>8.90311934765293E-3</v>
      </c>
    </row>
    <row r="625" spans="1:2" x14ac:dyDescent="0.25">
      <c r="A625" s="18">
        <v>595</v>
      </c>
      <c r="B625" s="5">
        <v>1.7636305534549843E-2</v>
      </c>
    </row>
    <row r="626" spans="1:2" x14ac:dyDescent="0.25">
      <c r="A626" s="18">
        <v>596</v>
      </c>
      <c r="B626" s="5">
        <v>-5.0164771641204496E-2</v>
      </c>
    </row>
    <row r="627" spans="1:2" x14ac:dyDescent="0.25">
      <c r="A627" s="18">
        <v>597</v>
      </c>
      <c r="B627" s="5">
        <v>-1.227457573366837E-2</v>
      </c>
    </row>
    <row r="628" spans="1:2" x14ac:dyDescent="0.25">
      <c r="A628" s="18">
        <v>598</v>
      </c>
      <c r="B628" s="5">
        <v>7.8637456073579939E-3</v>
      </c>
    </row>
    <row r="629" spans="1:2" x14ac:dyDescent="0.25">
      <c r="A629" s="18">
        <v>599</v>
      </c>
      <c r="B629" s="5">
        <v>-7.6970899120706857E-2</v>
      </c>
    </row>
    <row r="630" spans="1:2" x14ac:dyDescent="0.25">
      <c r="A630" s="18">
        <v>600</v>
      </c>
      <c r="B630" s="5">
        <v>-3.0647873265646747E-2</v>
      </c>
    </row>
    <row r="631" spans="1:2" x14ac:dyDescent="0.25">
      <c r="A631" s="18">
        <v>601</v>
      </c>
      <c r="B631" s="5">
        <v>-1.9528991012713413E-2</v>
      </c>
    </row>
    <row r="632" spans="1:2" x14ac:dyDescent="0.25">
      <c r="A632" s="18">
        <v>602</v>
      </c>
      <c r="B632" s="5">
        <v>-2.8157916405326996E-3</v>
      </c>
    </row>
    <row r="633" spans="1:2" x14ac:dyDescent="0.25">
      <c r="A633" s="18">
        <v>603</v>
      </c>
      <c r="B633" s="5">
        <v>1.8090519627038427E-2</v>
      </c>
    </row>
    <row r="634" spans="1:2" x14ac:dyDescent="0.25">
      <c r="A634" s="18">
        <v>604</v>
      </c>
      <c r="B634" s="5">
        <v>3.7091840772685722E-2</v>
      </c>
    </row>
    <row r="635" spans="1:2" x14ac:dyDescent="0.25">
      <c r="A635" s="18">
        <v>605</v>
      </c>
      <c r="B635" s="5">
        <v>-1.3169365346958152E-2</v>
      </c>
    </row>
    <row r="636" spans="1:2" x14ac:dyDescent="0.25">
      <c r="A636" s="18">
        <v>606</v>
      </c>
      <c r="B636" s="5">
        <v>1.4075392949031464E-3</v>
      </c>
    </row>
    <row r="637" spans="1:2" x14ac:dyDescent="0.25">
      <c r="A637" s="18">
        <v>607</v>
      </c>
      <c r="B637" s="5">
        <v>-2.1118979842898004E-2</v>
      </c>
    </row>
    <row r="638" spans="1:2" x14ac:dyDescent="0.25">
      <c r="A638" s="18">
        <v>608</v>
      </c>
      <c r="B638" s="5">
        <v>-1.67101702845618E-3</v>
      </c>
    </row>
    <row r="639" spans="1:2" x14ac:dyDescent="0.25">
      <c r="A639" s="18">
        <v>609</v>
      </c>
      <c r="B639" s="5">
        <v>3.1444166940717486E-2</v>
      </c>
    </row>
    <row r="640" spans="1:2" x14ac:dyDescent="0.25">
      <c r="A640" s="18">
        <v>610</v>
      </c>
      <c r="B640" s="5">
        <v>1.5789860095353027E-2</v>
      </c>
    </row>
    <row r="641" spans="1:2" x14ac:dyDescent="0.25">
      <c r="A641" s="18">
        <v>611</v>
      </c>
      <c r="B641" s="5">
        <v>-1.2785900145873218E-3</v>
      </c>
    </row>
    <row r="642" spans="1:2" x14ac:dyDescent="0.25">
      <c r="A642" s="18">
        <v>612</v>
      </c>
      <c r="B642" s="5">
        <v>1.7754821244902436E-2</v>
      </c>
    </row>
    <row r="643" spans="1:2" x14ac:dyDescent="0.25">
      <c r="A643" s="18">
        <v>613</v>
      </c>
      <c r="B643" s="5">
        <v>6.50501038144779E-2</v>
      </c>
    </row>
    <row r="644" spans="1:2" x14ac:dyDescent="0.25">
      <c r="A644" s="18">
        <v>614</v>
      </c>
      <c r="B644" s="5">
        <v>-1.5903217965689111E-3</v>
      </c>
    </row>
    <row r="645" spans="1:2" x14ac:dyDescent="0.25">
      <c r="A645" s="18">
        <v>615</v>
      </c>
      <c r="B645" s="5">
        <v>4.6078606294859504E-3</v>
      </c>
    </row>
    <row r="646" spans="1:2" x14ac:dyDescent="0.25">
      <c r="A646" s="18">
        <v>616</v>
      </c>
      <c r="B646" s="5">
        <v>5.1692147922747074E-2</v>
      </c>
    </row>
    <row r="647" spans="1:2" x14ac:dyDescent="0.25">
      <c r="A647" s="18">
        <v>617</v>
      </c>
      <c r="B647" s="5">
        <v>2.6864881962319356E-2</v>
      </c>
    </row>
    <row r="648" spans="1:2" x14ac:dyDescent="0.25">
      <c r="A648" s="18">
        <v>618</v>
      </c>
      <c r="B648" s="5">
        <v>7.7739528420420747E-3</v>
      </c>
    </row>
    <row r="649" spans="1:2" x14ac:dyDescent="0.25">
      <c r="A649" s="18">
        <v>619</v>
      </c>
      <c r="B649" s="5">
        <v>6.0481417318990392E-2</v>
      </c>
    </row>
    <row r="650" spans="1:2" x14ac:dyDescent="0.25">
      <c r="A650" s="18">
        <v>620</v>
      </c>
      <c r="B650" s="5">
        <v>1.6730873753703183E-2</v>
      </c>
    </row>
    <row r="651" spans="1:2" x14ac:dyDescent="0.25">
      <c r="A651" s="18">
        <v>621</v>
      </c>
      <c r="B651" s="5">
        <v>1.4213911725846112E-2</v>
      </c>
    </row>
    <row r="652" spans="1:2" x14ac:dyDescent="0.25">
      <c r="A652" s="18">
        <v>622</v>
      </c>
      <c r="B652" s="5">
        <v>-1.5272857767224451E-2</v>
      </c>
    </row>
    <row r="653" spans="1:2" x14ac:dyDescent="0.25">
      <c r="A653" s="18">
        <v>623</v>
      </c>
      <c r="B653" s="5">
        <v>-1.8196090545038662E-2</v>
      </c>
    </row>
    <row r="654" spans="1:2" x14ac:dyDescent="0.25">
      <c r="A654" s="18">
        <v>624</v>
      </c>
      <c r="B654" s="5">
        <v>5.4375816577177771E-2</v>
      </c>
    </row>
    <row r="655" spans="1:2" x14ac:dyDescent="0.25">
      <c r="A655" s="18">
        <v>625</v>
      </c>
      <c r="B655" s="5">
        <v>-3.2758406534033897E-2</v>
      </c>
    </row>
    <row r="656" spans="1:2" x14ac:dyDescent="0.25">
      <c r="A656" s="18">
        <v>626</v>
      </c>
      <c r="B656" s="5">
        <v>2.0099907885915053E-2</v>
      </c>
    </row>
    <row r="657" spans="1:2" x14ac:dyDescent="0.25">
      <c r="A657" s="18">
        <v>627</v>
      </c>
      <c r="B657" s="5">
        <v>3.5495351964550018E-2</v>
      </c>
    </row>
    <row r="658" spans="1:2" x14ac:dyDescent="0.25">
      <c r="A658" s="18">
        <v>628</v>
      </c>
      <c r="B658" s="5">
        <v>5.0579177419786625E-2</v>
      </c>
    </row>
    <row r="659" spans="1:2" x14ac:dyDescent="0.25">
      <c r="A659" s="18">
        <v>629</v>
      </c>
      <c r="B659" s="5">
        <v>-1.7673874202130103E-2</v>
      </c>
    </row>
    <row r="660" spans="1:2" x14ac:dyDescent="0.25">
      <c r="A660" s="18">
        <v>630</v>
      </c>
      <c r="B660" s="5">
        <v>3.5545836891763938E-2</v>
      </c>
    </row>
    <row r="661" spans="1:2" x14ac:dyDescent="0.25">
      <c r="A661" s="18">
        <v>631</v>
      </c>
      <c r="B661" s="5">
        <v>-1.2000441619231833E-2</v>
      </c>
    </row>
    <row r="662" spans="1:2" x14ac:dyDescent="0.25">
      <c r="A662" s="18">
        <v>632</v>
      </c>
      <c r="B662" s="5">
        <v>2.3757458996339258E-3</v>
      </c>
    </row>
    <row r="663" spans="1:2" x14ac:dyDescent="0.25">
      <c r="A663" s="18">
        <v>633</v>
      </c>
      <c r="B663" s="5">
        <v>2.2791953740415533E-3</v>
      </c>
    </row>
    <row r="664" spans="1:2" x14ac:dyDescent="0.25">
      <c r="A664" s="18">
        <v>634</v>
      </c>
      <c r="B664" s="5">
        <v>2.2237577765983476E-2</v>
      </c>
    </row>
    <row r="665" spans="1:2" x14ac:dyDescent="0.25">
      <c r="A665" s="18">
        <v>635</v>
      </c>
      <c r="B665" s="5">
        <v>2.2294521408550368E-2</v>
      </c>
    </row>
    <row r="666" spans="1:2" x14ac:dyDescent="0.25">
      <c r="A666" s="18">
        <v>636</v>
      </c>
      <c r="B666" s="5">
        <v>3.1613038576519745E-2</v>
      </c>
    </row>
    <row r="667" spans="1:2" x14ac:dyDescent="0.25">
      <c r="A667" s="18">
        <v>637</v>
      </c>
      <c r="B667" s="5">
        <v>-1.5751739636319203E-2</v>
      </c>
    </row>
    <row r="668" spans="1:2" x14ac:dyDescent="0.25">
      <c r="A668" s="18">
        <v>638</v>
      </c>
      <c r="B668" s="5">
        <v>5.6163052552640251E-2</v>
      </c>
    </row>
    <row r="669" spans="1:2" x14ac:dyDescent="0.25">
      <c r="A669" s="18">
        <v>639</v>
      </c>
      <c r="B669" s="5">
        <v>-4.1015063124271965E-3</v>
      </c>
    </row>
    <row r="670" spans="1:2" x14ac:dyDescent="0.25">
      <c r="A670" s="18">
        <v>640</v>
      </c>
      <c r="B670" s="5">
        <v>1.9517783097204536E-2</v>
      </c>
    </row>
    <row r="671" spans="1:2" x14ac:dyDescent="0.25">
      <c r="A671" s="18">
        <v>641</v>
      </c>
      <c r="B671" s="5">
        <v>1.3511941947238641E-2</v>
      </c>
    </row>
    <row r="672" spans="1:2" x14ac:dyDescent="0.25">
      <c r="A672" s="18">
        <v>642</v>
      </c>
      <c r="B672" s="5">
        <v>-4.5425972254437277E-3</v>
      </c>
    </row>
    <row r="673" spans="1:2" x14ac:dyDescent="0.25">
      <c r="A673" s="18">
        <v>643</v>
      </c>
      <c r="B673" s="5">
        <v>1.8017376818436043E-2</v>
      </c>
    </row>
    <row r="674" spans="1:2" x14ac:dyDescent="0.25">
      <c r="A674" s="18">
        <v>644</v>
      </c>
      <c r="B674" s="5">
        <v>6.3767671046056643E-2</v>
      </c>
    </row>
    <row r="675" spans="1:2" x14ac:dyDescent="0.25">
      <c r="A675" s="18">
        <v>645</v>
      </c>
      <c r="B675" s="5">
        <v>3.1604235596714561E-2</v>
      </c>
    </row>
    <row r="676" spans="1:2" x14ac:dyDescent="0.25">
      <c r="A676" s="18">
        <v>646</v>
      </c>
      <c r="B676" s="5">
        <v>9.4973809941477395E-3</v>
      </c>
    </row>
    <row r="677" spans="1:2" x14ac:dyDescent="0.25">
      <c r="A677" s="18">
        <v>647</v>
      </c>
      <c r="B677" s="5">
        <v>1.6378672766264157E-3</v>
      </c>
    </row>
    <row r="678" spans="1:2" x14ac:dyDescent="0.25">
      <c r="A678" s="18">
        <v>648</v>
      </c>
      <c r="B678" s="5">
        <v>1.5108319722583976E-2</v>
      </c>
    </row>
    <row r="679" spans="1:2" x14ac:dyDescent="0.25">
      <c r="A679" s="18">
        <v>649</v>
      </c>
      <c r="B679" s="5">
        <v>1.3195397624830719E-2</v>
      </c>
    </row>
    <row r="680" spans="1:2" x14ac:dyDescent="0.25">
      <c r="A680" s="18">
        <v>650</v>
      </c>
      <c r="B680" s="5">
        <v>2.0077077166073074E-2</v>
      </c>
    </row>
    <row r="681" spans="1:2" x14ac:dyDescent="0.25">
      <c r="A681" s="18">
        <v>651</v>
      </c>
      <c r="B681" s="5">
        <v>9.0819941118494216E-4</v>
      </c>
    </row>
    <row r="682" spans="1:2" x14ac:dyDescent="0.25">
      <c r="A682" s="18">
        <v>652</v>
      </c>
      <c r="B682" s="5">
        <v>-2.6963326486572622E-2</v>
      </c>
    </row>
    <row r="683" spans="1:2" x14ac:dyDescent="0.25">
      <c r="A683" s="18">
        <v>653</v>
      </c>
      <c r="B683" s="5">
        <v>-1.3555712244487168E-2</v>
      </c>
    </row>
    <row r="684" spans="1:2" x14ac:dyDescent="0.25">
      <c r="A684" s="18">
        <v>654</v>
      </c>
      <c r="B684" s="5">
        <v>1.9267412317654147E-2</v>
      </c>
    </row>
    <row r="685" spans="1:2" x14ac:dyDescent="0.25">
      <c r="A685" s="18">
        <v>655</v>
      </c>
      <c r="B685" s="5">
        <v>-2.010606829419926E-2</v>
      </c>
    </row>
    <row r="686" spans="1:2" x14ac:dyDescent="0.25">
      <c r="A686" s="18">
        <v>656</v>
      </c>
      <c r="B686" s="5">
        <v>-2.9498938512965882E-3</v>
      </c>
    </row>
    <row r="687" spans="1:2" x14ac:dyDescent="0.25">
      <c r="A687" s="18">
        <v>657</v>
      </c>
      <c r="B687" s="5">
        <v>2.04977459525763E-2</v>
      </c>
    </row>
    <row r="688" spans="1:2" x14ac:dyDescent="0.25">
      <c r="A688" s="18">
        <v>658</v>
      </c>
      <c r="B688" s="5">
        <v>-1.8258576091971783E-2</v>
      </c>
    </row>
    <row r="689" spans="1:2" x14ac:dyDescent="0.25">
      <c r="A689" s="18">
        <v>659</v>
      </c>
      <c r="B689" s="5">
        <v>-8.9668845058962793E-3</v>
      </c>
    </row>
    <row r="690" spans="1:2" x14ac:dyDescent="0.25">
      <c r="A690" s="18">
        <v>660</v>
      </c>
      <c r="B690" s="5">
        <v>4.8509510281653928E-2</v>
      </c>
    </row>
    <row r="691" spans="1:2" x14ac:dyDescent="0.25">
      <c r="A691" s="18">
        <v>661</v>
      </c>
      <c r="B691" s="5">
        <v>2.0034524198362474E-2</v>
      </c>
    </row>
    <row r="692" spans="1:2" x14ac:dyDescent="0.25">
      <c r="A692" s="18">
        <v>662</v>
      </c>
      <c r="B692" s="5">
        <v>-1.4984713728294877E-3</v>
      </c>
    </row>
    <row r="693" spans="1:2" x14ac:dyDescent="0.25">
      <c r="A693" s="18">
        <v>663</v>
      </c>
      <c r="B693" s="5">
        <v>1.1361105440930559E-2</v>
      </c>
    </row>
    <row r="694" spans="1:2" x14ac:dyDescent="0.25">
      <c r="A694" s="18">
        <v>664</v>
      </c>
      <c r="B694" s="5">
        <v>-1.9316955899727199E-2</v>
      </c>
    </row>
    <row r="695" spans="1:2" x14ac:dyDescent="0.25">
      <c r="A695" s="18">
        <v>665</v>
      </c>
      <c r="B695" s="5">
        <v>-7.2922565211837903E-2</v>
      </c>
    </row>
    <row r="696" spans="1:2" x14ac:dyDescent="0.25">
      <c r="A696" s="18">
        <v>666</v>
      </c>
      <c r="B696" s="5">
        <v>5.6783542999359386E-2</v>
      </c>
    </row>
    <row r="697" spans="1:2" x14ac:dyDescent="0.25">
      <c r="A697" s="18">
        <v>667</v>
      </c>
      <c r="B697" s="5">
        <v>5.1942447202340425E-2</v>
      </c>
    </row>
    <row r="698" spans="1:2" x14ac:dyDescent="0.25">
      <c r="A698" s="18">
        <v>668</v>
      </c>
      <c r="B698" s="5">
        <v>-5.7103803472728426E-3</v>
      </c>
    </row>
    <row r="699" spans="1:2" x14ac:dyDescent="0.25">
      <c r="A699" s="18">
        <v>669</v>
      </c>
      <c r="B699" s="5">
        <v>4.9093463098525553E-2</v>
      </c>
    </row>
    <row r="700" spans="1:2" x14ac:dyDescent="0.25">
      <c r="A700" s="18">
        <v>670</v>
      </c>
      <c r="B700" s="5">
        <v>-4.8814215063517449E-2</v>
      </c>
    </row>
    <row r="701" spans="1:2" x14ac:dyDescent="0.25">
      <c r="A701" s="18">
        <v>671</v>
      </c>
      <c r="B701" s="5">
        <v>9.4966486066742559E-3</v>
      </c>
    </row>
    <row r="702" spans="1:2" x14ac:dyDescent="0.25">
      <c r="A702" s="18">
        <v>672</v>
      </c>
      <c r="B702" s="5">
        <v>-1.3033149502819009E-2</v>
      </c>
    </row>
    <row r="703" spans="1:2" x14ac:dyDescent="0.25">
      <c r="A703" s="18">
        <v>673</v>
      </c>
      <c r="B703" s="5">
        <v>3.4041031239868628E-3</v>
      </c>
    </row>
    <row r="704" spans="1:2" x14ac:dyDescent="0.25">
      <c r="A704" s="18">
        <v>674</v>
      </c>
      <c r="B704" s="5">
        <v>-1.4300490671465282E-2</v>
      </c>
    </row>
    <row r="705" spans="1:2" x14ac:dyDescent="0.25">
      <c r="A705" s="18">
        <v>675</v>
      </c>
      <c r="B705" s="5">
        <v>-1.2881535620067646E-2</v>
      </c>
    </row>
    <row r="706" spans="1:2" x14ac:dyDescent="0.25">
      <c r="A706" s="18">
        <v>676</v>
      </c>
      <c r="B706" s="5">
        <v>-3.8800168772740673E-2</v>
      </c>
    </row>
    <row r="707" spans="1:2" x14ac:dyDescent="0.25">
      <c r="A707" s="18">
        <v>677</v>
      </c>
      <c r="B707" s="5">
        <v>4.5843621689591069E-3</v>
      </c>
    </row>
    <row r="708" spans="1:2" x14ac:dyDescent="0.25">
      <c r="A708" s="18">
        <v>678</v>
      </c>
      <c r="B708" s="5">
        <v>3.320414309523346E-3</v>
      </c>
    </row>
    <row r="709" spans="1:2" x14ac:dyDescent="0.25">
      <c r="A709" s="18">
        <v>679</v>
      </c>
      <c r="B709" s="5">
        <v>-3.3267150161867699E-3</v>
      </c>
    </row>
    <row r="710" spans="1:2" x14ac:dyDescent="0.25">
      <c r="A710" s="18">
        <v>680</v>
      </c>
      <c r="B710" s="5">
        <v>2.9257105459362026E-2</v>
      </c>
    </row>
    <row r="711" spans="1:2" x14ac:dyDescent="0.25">
      <c r="A711" s="18">
        <v>681</v>
      </c>
      <c r="B711" s="5">
        <v>7.0207420139581631E-2</v>
      </c>
    </row>
    <row r="712" spans="1:2" x14ac:dyDescent="0.25">
      <c r="A712" s="18">
        <v>682</v>
      </c>
      <c r="B712" s="5">
        <v>-4.5518346900073258E-3</v>
      </c>
    </row>
    <row r="713" spans="1:2" x14ac:dyDescent="0.25">
      <c r="A713" s="18">
        <v>683</v>
      </c>
      <c r="B713" s="5">
        <v>1.9890072308515307E-3</v>
      </c>
    </row>
    <row r="714" spans="1:2" x14ac:dyDescent="0.25">
      <c r="A714" s="18">
        <v>684</v>
      </c>
      <c r="B714" s="5">
        <v>5.1685811416179929E-2</v>
      </c>
    </row>
    <row r="715" spans="1:2" x14ac:dyDescent="0.25">
      <c r="A715" s="18">
        <v>685</v>
      </c>
      <c r="B715" s="5">
        <v>2.566507536157738E-3</v>
      </c>
    </row>
    <row r="716" spans="1:2" x14ac:dyDescent="0.25">
      <c r="A716" s="18">
        <v>686</v>
      </c>
      <c r="B716" s="5">
        <v>1.9723254924938847E-3</v>
      </c>
    </row>
    <row r="717" spans="1:2" x14ac:dyDescent="0.25">
      <c r="A717" s="18">
        <v>687</v>
      </c>
      <c r="B717" s="5">
        <v>-2.5254388413144105E-2</v>
      </c>
    </row>
    <row r="718" spans="1:2" x14ac:dyDescent="0.25">
      <c r="A718" s="18">
        <v>688</v>
      </c>
      <c r="B718" s="5">
        <v>2.8340061067387425E-2</v>
      </c>
    </row>
    <row r="719" spans="1:2" x14ac:dyDescent="0.25">
      <c r="A719" s="18">
        <v>689</v>
      </c>
      <c r="B719" s="5">
        <v>-1.5768511081142474E-2</v>
      </c>
    </row>
    <row r="720" spans="1:2" x14ac:dyDescent="0.25">
      <c r="A720" s="18">
        <v>690</v>
      </c>
      <c r="B720" s="5">
        <v>-4.9854538828975076E-3</v>
      </c>
    </row>
    <row r="721" spans="1:2" x14ac:dyDescent="0.25">
      <c r="A721" s="18">
        <v>691</v>
      </c>
      <c r="B721" s="5">
        <v>5.2403435545488597E-3</v>
      </c>
    </row>
    <row r="722" spans="1:2" x14ac:dyDescent="0.25">
      <c r="A722" s="18">
        <v>692</v>
      </c>
      <c r="B722" s="5">
        <v>4.5182633146226611E-3</v>
      </c>
    </row>
    <row r="723" spans="1:2" x14ac:dyDescent="0.25">
      <c r="A723" s="18">
        <v>693</v>
      </c>
      <c r="B723" s="5">
        <v>2.6665609389388226E-2</v>
      </c>
    </row>
    <row r="724" spans="1:2" x14ac:dyDescent="0.25">
      <c r="A724" s="18">
        <v>694</v>
      </c>
      <c r="B724" s="5">
        <v>1.1143153028283916E-2</v>
      </c>
    </row>
    <row r="725" spans="1:2" x14ac:dyDescent="0.25">
      <c r="A725" s="18">
        <v>695</v>
      </c>
      <c r="B725" s="5">
        <v>-3.4983392937325115E-2</v>
      </c>
    </row>
    <row r="726" spans="1:2" x14ac:dyDescent="0.25">
      <c r="A726" s="18">
        <v>696</v>
      </c>
      <c r="B726" s="5">
        <v>1.3690949827719071E-2</v>
      </c>
    </row>
    <row r="727" spans="1:2" x14ac:dyDescent="0.25">
      <c r="A727" s="18">
        <v>697</v>
      </c>
      <c r="B727" s="5">
        <v>-4.3750010275873608E-2</v>
      </c>
    </row>
    <row r="728" spans="1:2" x14ac:dyDescent="0.25">
      <c r="A728" s="18">
        <v>698</v>
      </c>
      <c r="B728" s="5">
        <v>-7.5075829220447804E-3</v>
      </c>
    </row>
    <row r="729" spans="1:2" x14ac:dyDescent="0.25">
      <c r="A729" s="18">
        <v>699</v>
      </c>
      <c r="B729" s="5">
        <v>4.1213219010749522E-2</v>
      </c>
    </row>
    <row r="730" spans="1:2" x14ac:dyDescent="0.25">
      <c r="A730" s="18">
        <v>700</v>
      </c>
      <c r="B730" s="5">
        <v>2.2928353314755928E-2</v>
      </c>
    </row>
    <row r="731" spans="1:2" x14ac:dyDescent="0.25">
      <c r="A731" s="18">
        <v>701</v>
      </c>
      <c r="B731" s="5">
        <v>1.7386970788306949E-2</v>
      </c>
    </row>
    <row r="732" spans="1:2" x14ac:dyDescent="0.25">
      <c r="A732" s="18">
        <v>702</v>
      </c>
      <c r="B732" s="5">
        <v>-1.6361826629386567E-2</v>
      </c>
    </row>
    <row r="733" spans="1:2" x14ac:dyDescent="0.25">
      <c r="A733" s="18">
        <v>703</v>
      </c>
      <c r="B733" s="5">
        <v>4.002782196385915E-2</v>
      </c>
    </row>
    <row r="734" spans="1:2" x14ac:dyDescent="0.25">
      <c r="A734" s="18">
        <v>704</v>
      </c>
      <c r="B734" s="5">
        <v>3.8136375214649625E-2</v>
      </c>
    </row>
    <row r="735" spans="1:2" x14ac:dyDescent="0.25">
      <c r="A735" s="18">
        <v>705</v>
      </c>
      <c r="B735" s="5">
        <v>7.2666175098393557E-2</v>
      </c>
    </row>
    <row r="736" spans="1:2" x14ac:dyDescent="0.25">
      <c r="A736" s="18">
        <v>706</v>
      </c>
      <c r="B736" s="5">
        <v>-2.1066915639216872E-2</v>
      </c>
    </row>
    <row r="737" spans="1:2" x14ac:dyDescent="0.25">
      <c r="A737" s="18">
        <v>707</v>
      </c>
      <c r="B737" s="5">
        <v>3.5045479443895695E-2</v>
      </c>
    </row>
    <row r="738" spans="1:2" x14ac:dyDescent="0.25">
      <c r="A738" s="18">
        <v>708</v>
      </c>
      <c r="B738" s="5">
        <v>-9.7061003470976168E-3</v>
      </c>
    </row>
    <row r="739" spans="1:2" x14ac:dyDescent="0.25">
      <c r="A739" s="18">
        <v>709</v>
      </c>
      <c r="B739" s="5">
        <v>9.6562685087540154E-3</v>
      </c>
    </row>
    <row r="740" spans="1:2" x14ac:dyDescent="0.25">
      <c r="A740" s="18">
        <v>710</v>
      </c>
      <c r="B740" s="5">
        <v>2.2714959831599685E-5</v>
      </c>
    </row>
    <row r="741" spans="1:2" x14ac:dyDescent="0.25">
      <c r="A741" s="18">
        <v>711</v>
      </c>
      <c r="B741" s="5">
        <v>-4.4993077945213057E-3</v>
      </c>
    </row>
    <row r="742" spans="1:2" x14ac:dyDescent="0.25">
      <c r="A742" s="18">
        <v>712</v>
      </c>
      <c r="B742" s="5">
        <v>3.5786279736863547E-2</v>
      </c>
    </row>
    <row r="743" spans="1:2" x14ac:dyDescent="0.25">
      <c r="A743" s="18">
        <v>713</v>
      </c>
      <c r="B743" s="5">
        <v>7.5729607333328182E-3</v>
      </c>
    </row>
    <row r="744" spans="1:2" x14ac:dyDescent="0.25">
      <c r="A744" s="18">
        <v>714</v>
      </c>
      <c r="B744" s="5">
        <v>3.1095971532832598E-2</v>
      </c>
    </row>
    <row r="745" spans="1:2" x14ac:dyDescent="0.25">
      <c r="A745" s="18">
        <v>715</v>
      </c>
      <c r="B745" s="5">
        <v>1.6514780084812504E-2</v>
      </c>
    </row>
    <row r="746" spans="1:2" x14ac:dyDescent="0.25">
      <c r="A746" s="18">
        <v>716</v>
      </c>
      <c r="B746" s="5">
        <v>-3.1408887617042955E-2</v>
      </c>
    </row>
    <row r="747" spans="1:2" x14ac:dyDescent="0.25">
      <c r="A747" s="18">
        <v>717</v>
      </c>
      <c r="B747" s="5">
        <v>-1.6804093718533362E-4</v>
      </c>
    </row>
    <row r="748" spans="1:2" x14ac:dyDescent="0.25">
      <c r="A748" s="18">
        <v>718</v>
      </c>
      <c r="B748" s="5">
        <v>4.4461964819083835E-2</v>
      </c>
    </row>
    <row r="749" spans="1:2" x14ac:dyDescent="0.25">
      <c r="A749" s="18">
        <v>719</v>
      </c>
      <c r="B749" s="5">
        <v>2.810960141270832E-2</v>
      </c>
    </row>
    <row r="750" spans="1:2" x14ac:dyDescent="0.25">
      <c r="A750" s="18">
        <v>720</v>
      </c>
      <c r="B750" s="5">
        <v>2.6735993180539607E-2</v>
      </c>
    </row>
    <row r="751" spans="1:2" x14ac:dyDescent="0.25">
      <c r="A751" s="18">
        <v>721</v>
      </c>
      <c r="B751" s="5">
        <v>2.599717699148521E-2</v>
      </c>
    </row>
    <row r="752" spans="1:2" x14ac:dyDescent="0.25">
      <c r="A752" s="18">
        <v>722</v>
      </c>
      <c r="B752" s="5">
        <v>-6.1721301379033533E-4</v>
      </c>
    </row>
    <row r="753" spans="1:2" x14ac:dyDescent="0.25">
      <c r="A753" s="18">
        <v>723</v>
      </c>
      <c r="B753" s="5">
        <v>6.0338767321325169E-2</v>
      </c>
    </row>
    <row r="754" spans="1:2" x14ac:dyDescent="0.25">
      <c r="A754" s="18">
        <v>724</v>
      </c>
      <c r="B754" s="5">
        <v>-6.3208389460421687E-3</v>
      </c>
    </row>
    <row r="755" spans="1:2" x14ac:dyDescent="0.25">
      <c r="A755" s="18">
        <v>725</v>
      </c>
      <c r="B755" s="5">
        <v>8.3194869537633198E-5</v>
      </c>
    </row>
    <row r="756" spans="1:2" x14ac:dyDescent="0.25">
      <c r="A756" s="18">
        <v>726</v>
      </c>
      <c r="B756" s="5">
        <v>3.4719319672715E-2</v>
      </c>
    </row>
    <row r="757" spans="1:2" x14ac:dyDescent="0.25">
      <c r="A757" s="18">
        <v>727</v>
      </c>
      <c r="B757" s="5">
        <v>2.0615975915105587E-2</v>
      </c>
    </row>
    <row r="758" spans="1:2" x14ac:dyDescent="0.25">
      <c r="A758" s="18">
        <v>728</v>
      </c>
      <c r="B758" s="5">
        <v>-1.8622714077075799E-2</v>
      </c>
    </row>
    <row r="759" spans="1:2" x14ac:dyDescent="0.25">
      <c r="A759" s="18">
        <v>729</v>
      </c>
      <c r="B759" s="5">
        <v>-1.1472991557562384E-2</v>
      </c>
    </row>
    <row r="760" spans="1:2" x14ac:dyDescent="0.25">
      <c r="A760" s="18">
        <v>730</v>
      </c>
      <c r="B760" s="5">
        <v>4.9233192193031863E-2</v>
      </c>
    </row>
    <row r="761" spans="1:2" x14ac:dyDescent="0.25">
      <c r="A761" s="18">
        <v>731</v>
      </c>
      <c r="B761" s="5">
        <v>-2.7607911698431603E-2</v>
      </c>
    </row>
    <row r="762" spans="1:2" x14ac:dyDescent="0.25">
      <c r="A762" s="18">
        <v>732</v>
      </c>
      <c r="B762" s="5">
        <v>-3.8601438380443012E-2</v>
      </c>
    </row>
    <row r="763" spans="1:2" x14ac:dyDescent="0.25">
      <c r="A763" s="18">
        <v>733</v>
      </c>
      <c r="B763" s="5">
        <v>-5.3518043773873409E-3</v>
      </c>
    </row>
    <row r="764" spans="1:2" x14ac:dyDescent="0.25">
      <c r="A764" s="18">
        <v>734</v>
      </c>
      <c r="B764" s="5">
        <v>-5.8521628900664306E-2</v>
      </c>
    </row>
    <row r="765" spans="1:2" x14ac:dyDescent="0.25">
      <c r="A765" s="18">
        <v>735</v>
      </c>
      <c r="B765" s="5">
        <v>5.5170337703075875E-2</v>
      </c>
    </row>
    <row r="766" spans="1:2" x14ac:dyDescent="0.25">
      <c r="A766" s="18">
        <v>736</v>
      </c>
      <c r="B766" s="5">
        <v>-3.8447800547559988E-2</v>
      </c>
    </row>
    <row r="767" spans="1:2" x14ac:dyDescent="0.25">
      <c r="A767" s="18">
        <v>737</v>
      </c>
      <c r="B767" s="5">
        <v>-2.3619671672119251E-2</v>
      </c>
    </row>
    <row r="768" spans="1:2" x14ac:dyDescent="0.25">
      <c r="A768" s="18">
        <v>738</v>
      </c>
      <c r="B768" s="5">
        <v>-4.6960126589371274E-3</v>
      </c>
    </row>
    <row r="769" spans="1:2" x14ac:dyDescent="0.25">
      <c r="A769" s="18">
        <v>739</v>
      </c>
      <c r="B769" s="5">
        <v>4.5777107101543035E-2</v>
      </c>
    </row>
    <row r="770" spans="1:2" x14ac:dyDescent="0.25">
      <c r="A770" s="18">
        <v>740</v>
      </c>
      <c r="B770" s="5">
        <v>-2.9680337414794606E-2</v>
      </c>
    </row>
    <row r="771" spans="1:2" x14ac:dyDescent="0.25">
      <c r="A771" s="18">
        <v>741</v>
      </c>
      <c r="B771" s="5">
        <v>1.3310978020573412E-2</v>
      </c>
    </row>
    <row r="772" spans="1:2" x14ac:dyDescent="0.25">
      <c r="A772" s="18">
        <v>742</v>
      </c>
      <c r="B772" s="5">
        <v>3.2641299894773337E-2</v>
      </c>
    </row>
    <row r="773" spans="1:2" x14ac:dyDescent="0.25">
      <c r="A773" s="18">
        <v>743</v>
      </c>
      <c r="B773" s="5">
        <v>1.6532432638878436E-2</v>
      </c>
    </row>
    <row r="774" spans="1:2" x14ac:dyDescent="0.25">
      <c r="A774" s="18">
        <v>744</v>
      </c>
      <c r="B774" s="5">
        <v>3.6094417877055036E-2</v>
      </c>
    </row>
    <row r="775" spans="1:2" x14ac:dyDescent="0.25">
      <c r="A775" s="18">
        <v>745</v>
      </c>
      <c r="B775" s="5">
        <v>-2.5746706548608125E-2</v>
      </c>
    </row>
    <row r="776" spans="1:2" x14ac:dyDescent="0.25">
      <c r="A776" s="18">
        <v>746</v>
      </c>
      <c r="B776" s="5">
        <v>1.9646314893048158E-2</v>
      </c>
    </row>
    <row r="777" spans="1:2" x14ac:dyDescent="0.25">
      <c r="A777" s="18">
        <v>747</v>
      </c>
      <c r="B777" s="5">
        <v>-3.5590899938416996E-3</v>
      </c>
    </row>
    <row r="778" spans="1:2" x14ac:dyDescent="0.25">
      <c r="A778" s="18">
        <v>748</v>
      </c>
      <c r="B778" s="5">
        <v>1.8196861775535197E-3</v>
      </c>
    </row>
    <row r="779" spans="1:2" x14ac:dyDescent="0.25">
      <c r="A779" s="18">
        <v>749</v>
      </c>
      <c r="B779" s="5">
        <v>-2.6492475079608092E-2</v>
      </c>
    </row>
    <row r="780" spans="1:2" x14ac:dyDescent="0.25">
      <c r="A780" s="18">
        <v>750</v>
      </c>
      <c r="B780" s="5">
        <v>-8.9963620463291254E-3</v>
      </c>
    </row>
    <row r="781" spans="1:2" x14ac:dyDescent="0.25">
      <c r="A781" s="18">
        <v>751</v>
      </c>
      <c r="B781" s="5">
        <v>-3.4647561344044796E-3</v>
      </c>
    </row>
    <row r="782" spans="1:2" x14ac:dyDescent="0.25">
      <c r="A782" s="18">
        <v>752</v>
      </c>
      <c r="B782" s="5">
        <v>2.0050513369476858E-3</v>
      </c>
    </row>
    <row r="783" spans="1:2" x14ac:dyDescent="0.25">
      <c r="A783" s="18">
        <v>753</v>
      </c>
      <c r="B783" s="5">
        <v>-1.6701496302812757E-2</v>
      </c>
    </row>
    <row r="784" spans="1:2" x14ac:dyDescent="0.25">
      <c r="A784" s="18">
        <v>754</v>
      </c>
      <c r="B784" s="5">
        <v>1.5652266446884579E-2</v>
      </c>
    </row>
    <row r="785" spans="1:2" x14ac:dyDescent="0.25">
      <c r="A785" s="18">
        <v>755</v>
      </c>
      <c r="B785" s="5">
        <v>6.4684645233045207E-2</v>
      </c>
    </row>
    <row r="786" spans="1:2" x14ac:dyDescent="0.25">
      <c r="A786" s="18">
        <v>756</v>
      </c>
      <c r="B786" s="5">
        <v>-3.9311961486037834E-2</v>
      </c>
    </row>
    <row r="787" spans="1:2" x14ac:dyDescent="0.25">
      <c r="A787" s="18">
        <v>757</v>
      </c>
      <c r="B787" s="5">
        <v>7.3159436026156988E-3</v>
      </c>
    </row>
    <row r="788" spans="1:2" x14ac:dyDescent="0.25">
      <c r="A788" s="18">
        <v>758</v>
      </c>
      <c r="B788" s="5">
        <v>-3.2246898995582904E-2</v>
      </c>
    </row>
    <row r="789" spans="1:2" x14ac:dyDescent="0.25">
      <c r="A789" s="18">
        <v>759</v>
      </c>
      <c r="B789" s="5">
        <v>-1.9180654135342923E-2</v>
      </c>
    </row>
    <row r="790" spans="1:2" x14ac:dyDescent="0.25">
      <c r="A790" s="18">
        <v>760</v>
      </c>
      <c r="B790" s="5">
        <v>4.1288308652400435E-2</v>
      </c>
    </row>
    <row r="791" spans="1:2" x14ac:dyDescent="0.25">
      <c r="A791" s="18">
        <v>761</v>
      </c>
      <c r="B791" s="5">
        <v>-7.5119198321595597E-3</v>
      </c>
    </row>
    <row r="792" spans="1:2" x14ac:dyDescent="0.25">
      <c r="A792" s="18">
        <v>762</v>
      </c>
      <c r="B792" s="5">
        <v>2.9107896132130474E-2</v>
      </c>
    </row>
    <row r="793" spans="1:2" x14ac:dyDescent="0.25">
      <c r="A793" s="18">
        <v>763</v>
      </c>
      <c r="B793" s="5">
        <v>1.572063408869636E-2</v>
      </c>
    </row>
    <row r="794" spans="1:2" x14ac:dyDescent="0.25">
      <c r="A794" s="18">
        <v>764</v>
      </c>
      <c r="B794" s="5">
        <v>-4.9059811613731763E-3</v>
      </c>
    </row>
    <row r="795" spans="1:2" x14ac:dyDescent="0.25">
      <c r="A795" s="18">
        <v>765</v>
      </c>
      <c r="B795" s="5">
        <v>1.7143599005537406E-2</v>
      </c>
    </row>
    <row r="796" spans="1:2" x14ac:dyDescent="0.25">
      <c r="A796" s="18">
        <v>766</v>
      </c>
      <c r="B796" s="5">
        <v>-1.4591234081615875E-2</v>
      </c>
    </row>
    <row r="797" spans="1:2" x14ac:dyDescent="0.25">
      <c r="A797" s="18">
        <v>767</v>
      </c>
      <c r="B797" s="5">
        <v>3.4977125289819784E-2</v>
      </c>
    </row>
    <row r="798" spans="1:2" x14ac:dyDescent="0.25">
      <c r="A798" s="18">
        <v>768</v>
      </c>
      <c r="B798" s="5">
        <v>1.4886484998869012E-2</v>
      </c>
    </row>
    <row r="799" spans="1:2" x14ac:dyDescent="0.25">
      <c r="A799" s="18">
        <v>769</v>
      </c>
      <c r="B799" s="5">
        <v>1.5262234243342259E-2</v>
      </c>
    </row>
    <row r="800" spans="1:2" x14ac:dyDescent="0.25">
      <c r="A800" s="18">
        <v>770</v>
      </c>
      <c r="B800" s="5">
        <v>-5.4859037987031404E-3</v>
      </c>
    </row>
    <row r="801" spans="1:2" x14ac:dyDescent="0.25">
      <c r="A801" s="18">
        <v>771</v>
      </c>
      <c r="B801" s="5">
        <v>2.8147257272648159E-2</v>
      </c>
    </row>
    <row r="802" spans="1:2" x14ac:dyDescent="0.25">
      <c r="A802" s="18">
        <v>772</v>
      </c>
      <c r="B802" s="5">
        <v>-2.694052238052632E-3</v>
      </c>
    </row>
    <row r="803" spans="1:2" x14ac:dyDescent="0.25">
      <c r="A803" s="18">
        <v>773</v>
      </c>
      <c r="B803" s="5">
        <v>-5.3700816609236392E-3</v>
      </c>
    </row>
    <row r="804" spans="1:2" x14ac:dyDescent="0.25">
      <c r="A804" s="18">
        <v>774</v>
      </c>
      <c r="B804" s="5">
        <v>7.9843884676726561E-3</v>
      </c>
    </row>
    <row r="805" spans="1:2" x14ac:dyDescent="0.25">
      <c r="A805" s="18">
        <v>775</v>
      </c>
      <c r="B805" s="5">
        <v>-4.7062472359356202E-4</v>
      </c>
    </row>
    <row r="806" spans="1:2" x14ac:dyDescent="0.25">
      <c r="A806" s="18">
        <v>776</v>
      </c>
      <c r="B806" s="5">
        <v>5.6321438066928844E-3</v>
      </c>
    </row>
    <row r="807" spans="1:2" x14ac:dyDescent="0.25">
      <c r="A807" s="18">
        <v>777</v>
      </c>
      <c r="B807" s="5">
        <v>3.0117934031727696E-2</v>
      </c>
    </row>
    <row r="808" spans="1:2" x14ac:dyDescent="0.25">
      <c r="A808" s="18">
        <v>778</v>
      </c>
      <c r="B808" s="5">
        <v>2.0905024162793641E-2</v>
      </c>
    </row>
    <row r="809" spans="1:2" x14ac:dyDescent="0.25">
      <c r="A809" s="18">
        <v>779</v>
      </c>
      <c r="B809" s="5">
        <v>-1.7589251660244331E-3</v>
      </c>
    </row>
    <row r="810" spans="1:2" x14ac:dyDescent="0.25">
      <c r="A810" s="18">
        <v>780</v>
      </c>
      <c r="B810" s="5">
        <v>5.0737145171944678E-2</v>
      </c>
    </row>
    <row r="811" spans="1:2" x14ac:dyDescent="0.25">
      <c r="A811" s="18">
        <v>781</v>
      </c>
      <c r="B811" s="5">
        <v>1.155308458270724E-2</v>
      </c>
    </row>
    <row r="812" spans="1:2" x14ac:dyDescent="0.25">
      <c r="A812" s="18">
        <v>782</v>
      </c>
      <c r="B812" s="5">
        <v>-2.0968475428041738E-3</v>
      </c>
    </row>
    <row r="813" spans="1:2" x14ac:dyDescent="0.25">
      <c r="A813" s="18">
        <v>783</v>
      </c>
      <c r="B813" s="5">
        <v>-8.261011232519504E-3</v>
      </c>
    </row>
    <row r="814" spans="1:2" x14ac:dyDescent="0.25">
      <c r="A814" s="18">
        <v>784</v>
      </c>
      <c r="B814" s="5">
        <v>-1.9913843433677574E-2</v>
      </c>
    </row>
    <row r="815" spans="1:2" x14ac:dyDescent="0.25">
      <c r="A815" s="18">
        <v>785</v>
      </c>
      <c r="B815" s="5">
        <v>5.2435034565736137E-2</v>
      </c>
    </row>
    <row r="816" spans="1:2" x14ac:dyDescent="0.25">
      <c r="A816" s="18">
        <v>786</v>
      </c>
      <c r="B816" s="5">
        <v>-2.1195638547522364E-2</v>
      </c>
    </row>
    <row r="817" spans="1:2" x14ac:dyDescent="0.25">
      <c r="A817" s="18">
        <v>787</v>
      </c>
      <c r="B817" s="5">
        <v>-2.0132840256607661E-2</v>
      </c>
    </row>
    <row r="818" spans="1:2" x14ac:dyDescent="0.25">
      <c r="A818" s="18">
        <v>788</v>
      </c>
      <c r="B818" s="5">
        <v>6.9127473424619133E-3</v>
      </c>
    </row>
    <row r="819" spans="1:2" x14ac:dyDescent="0.25">
      <c r="A819" s="18">
        <v>789</v>
      </c>
      <c r="B819" s="5">
        <v>-6.9575376196056573E-4</v>
      </c>
    </row>
    <row r="820" spans="1:2" x14ac:dyDescent="0.25">
      <c r="A820" s="18">
        <v>790</v>
      </c>
      <c r="B820" s="5">
        <v>3.5566834328661256E-2</v>
      </c>
    </row>
    <row r="821" spans="1:2" x14ac:dyDescent="0.25">
      <c r="A821" s="18">
        <v>791</v>
      </c>
      <c r="B821" s="5">
        <v>3.4012844632691358E-2</v>
      </c>
    </row>
    <row r="822" spans="1:2" x14ac:dyDescent="0.25">
      <c r="A822" s="18">
        <v>792</v>
      </c>
      <c r="B822" s="5">
        <v>-3.1193789966279459E-2</v>
      </c>
    </row>
    <row r="823" spans="1:2" x14ac:dyDescent="0.25">
      <c r="A823" s="18">
        <v>793</v>
      </c>
      <c r="B823" s="5">
        <v>-2.0414619165815426E-2</v>
      </c>
    </row>
    <row r="824" spans="1:2" x14ac:dyDescent="0.25">
      <c r="A824" s="18">
        <v>794</v>
      </c>
      <c r="B824" s="5">
        <v>2.7357290339810835E-2</v>
      </c>
    </row>
    <row r="825" spans="1:2" x14ac:dyDescent="0.25">
      <c r="A825" s="18">
        <v>795</v>
      </c>
      <c r="B825" s="5">
        <v>-1.2783758479199972E-2</v>
      </c>
    </row>
    <row r="826" spans="1:2" x14ac:dyDescent="0.25">
      <c r="A826" s="18">
        <v>796</v>
      </c>
      <c r="B826" s="5">
        <v>-2.5371555912988064E-2</v>
      </c>
    </row>
    <row r="827" spans="1:2" x14ac:dyDescent="0.25">
      <c r="A827" s="18">
        <v>797</v>
      </c>
      <c r="B827" s="5">
        <v>8.6914507290182848E-3</v>
      </c>
    </row>
    <row r="828" spans="1:2" x14ac:dyDescent="0.25">
      <c r="A828" s="18">
        <v>798</v>
      </c>
      <c r="B828" s="5">
        <v>3.2624388634121558E-2</v>
      </c>
    </row>
    <row r="829" spans="1:2" x14ac:dyDescent="0.25">
      <c r="A829" s="18">
        <v>799</v>
      </c>
      <c r="B829" s="5">
        <v>5.0045497207873671E-2</v>
      </c>
    </row>
    <row r="830" spans="1:2" x14ac:dyDescent="0.25">
      <c r="A830" s="18">
        <v>800</v>
      </c>
      <c r="B830" s="5">
        <v>5.5352508648545892E-2</v>
      </c>
    </row>
    <row r="831" spans="1:2" x14ac:dyDescent="0.25">
      <c r="A831" s="18">
        <v>801</v>
      </c>
      <c r="B831" s="5">
        <v>2.5249372078837651E-2</v>
      </c>
    </row>
    <row r="832" spans="1:2" x14ac:dyDescent="0.25">
      <c r="A832" s="18">
        <v>802</v>
      </c>
      <c r="B832" s="5">
        <v>4.3979182247017051E-2</v>
      </c>
    </row>
    <row r="833" spans="1:2" x14ac:dyDescent="0.25">
      <c r="A833" s="18">
        <v>803</v>
      </c>
      <c r="B833" s="5">
        <v>1.0346825181101428E-2</v>
      </c>
    </row>
    <row r="834" spans="1:2" x14ac:dyDescent="0.25">
      <c r="A834" s="18">
        <v>804</v>
      </c>
      <c r="B834" s="5">
        <v>-6.0293907309223972E-3</v>
      </c>
    </row>
    <row r="835" spans="1:2" x14ac:dyDescent="0.25">
      <c r="A835" s="18">
        <v>805</v>
      </c>
      <c r="B835" s="5">
        <v>2.3779203961413798E-2</v>
      </c>
    </row>
    <row r="836" spans="1:2" x14ac:dyDescent="0.25">
      <c r="A836" s="18">
        <v>806</v>
      </c>
      <c r="B836" s="5">
        <v>5.2409944735948302E-2</v>
      </c>
    </row>
    <row r="837" spans="1:2" x14ac:dyDescent="0.25">
      <c r="A837" s="18">
        <v>807</v>
      </c>
      <c r="B837" s="5">
        <v>-2.3379858140658721E-2</v>
      </c>
    </row>
    <row r="838" spans="1:2" x14ac:dyDescent="0.25">
      <c r="A838" s="18">
        <v>808</v>
      </c>
      <c r="B838" s="5">
        <v>3.1303598634689976E-2</v>
      </c>
    </row>
    <row r="839" spans="1:2" x14ac:dyDescent="0.25">
      <c r="A839" s="18">
        <v>809</v>
      </c>
      <c r="B839" s="5">
        <v>-3.2426059188464015E-2</v>
      </c>
    </row>
    <row r="840" spans="1:2" x14ac:dyDescent="0.25">
      <c r="A840" s="18">
        <v>810</v>
      </c>
      <c r="B840" s="5">
        <v>2.7147323559181733E-2</v>
      </c>
    </row>
    <row r="841" spans="1:2" x14ac:dyDescent="0.25">
      <c r="A841" s="18">
        <v>811</v>
      </c>
      <c r="B841" s="5">
        <v>5.4909298550145723E-2</v>
      </c>
    </row>
    <row r="842" spans="1:2" x14ac:dyDescent="0.25">
      <c r="A842" s="18">
        <v>812</v>
      </c>
      <c r="B842" s="5">
        <v>1.837493377024798E-2</v>
      </c>
    </row>
    <row r="843" spans="1:2" x14ac:dyDescent="0.25">
      <c r="A843" s="18">
        <v>813</v>
      </c>
      <c r="B843" s="5">
        <v>-4.4373329602842154E-2</v>
      </c>
    </row>
    <row r="844" spans="1:2" x14ac:dyDescent="0.25">
      <c r="A844" s="18">
        <v>814</v>
      </c>
      <c r="B844" s="5">
        <v>1.6148020615454676E-2</v>
      </c>
    </row>
    <row r="845" spans="1:2" x14ac:dyDescent="0.25">
      <c r="A845" s="18">
        <v>815</v>
      </c>
      <c r="B845" s="5">
        <v>1.4446585219508007E-2</v>
      </c>
    </row>
    <row r="846" spans="1:2" x14ac:dyDescent="0.25">
      <c r="A846" s="18">
        <v>816</v>
      </c>
      <c r="B846" s="5">
        <v>1.7543765307279729E-2</v>
      </c>
    </row>
    <row r="847" spans="1:2" x14ac:dyDescent="0.25">
      <c r="A847" s="18">
        <v>817</v>
      </c>
      <c r="B847" s="5">
        <v>3.854115987931328E-2</v>
      </c>
    </row>
    <row r="848" spans="1:2" x14ac:dyDescent="0.25">
      <c r="A848" s="18">
        <v>818</v>
      </c>
      <c r="B848" s="5">
        <v>-6.6425343340133516E-2</v>
      </c>
    </row>
    <row r="849" spans="1:2" x14ac:dyDescent="0.25">
      <c r="A849" s="18">
        <v>819</v>
      </c>
      <c r="B849" s="5">
        <v>-2.4651217817509445E-2</v>
      </c>
    </row>
    <row r="850" spans="1:2" x14ac:dyDescent="0.25">
      <c r="A850" s="18">
        <v>820</v>
      </c>
      <c r="B850" s="5">
        <v>-1.9104260916705616E-2</v>
      </c>
    </row>
    <row r="851" spans="1:2" x14ac:dyDescent="0.25">
      <c r="A851" s="18">
        <v>821</v>
      </c>
      <c r="B851" s="5">
        <v>-8.9347786862251002E-3</v>
      </c>
    </row>
    <row r="852" spans="1:2" x14ac:dyDescent="0.25">
      <c r="A852" s="18">
        <v>822</v>
      </c>
      <c r="B852" s="5">
        <v>-1.5718213609640652E-3</v>
      </c>
    </row>
    <row r="853" spans="1:2" x14ac:dyDescent="0.25">
      <c r="A853" s="18">
        <v>823</v>
      </c>
      <c r="B853" s="5">
        <v>5.6295787226733011E-3</v>
      </c>
    </row>
    <row r="854" spans="1:2" x14ac:dyDescent="0.25">
      <c r="A854" s="18">
        <v>824</v>
      </c>
      <c r="B854" s="5">
        <v>-5.6082596042036689E-3</v>
      </c>
    </row>
    <row r="855" spans="1:2" x14ac:dyDescent="0.25">
      <c r="A855" s="18">
        <v>825</v>
      </c>
      <c r="B855" s="5">
        <v>-5.5301472815037181E-2</v>
      </c>
    </row>
    <row r="856" spans="1:2" x14ac:dyDescent="0.25">
      <c r="A856" s="18">
        <v>826</v>
      </c>
      <c r="B856" s="5">
        <v>-1.2844211108409758E-2</v>
      </c>
    </row>
    <row r="857" spans="1:2" x14ac:dyDescent="0.25">
      <c r="A857" s="18">
        <v>827</v>
      </c>
      <c r="B857" s="5">
        <v>-3.5423436410928224E-3</v>
      </c>
    </row>
    <row r="858" spans="1:2" x14ac:dyDescent="0.25">
      <c r="A858" s="18">
        <v>828</v>
      </c>
      <c r="B858" s="5">
        <v>-7.4605338080645954E-3</v>
      </c>
    </row>
    <row r="859" spans="1:2" x14ac:dyDescent="0.25">
      <c r="A859" s="18">
        <v>829</v>
      </c>
      <c r="B859" s="5">
        <v>1.8494631767876343E-2</v>
      </c>
    </row>
    <row r="860" spans="1:2" x14ac:dyDescent="0.25">
      <c r="A860" s="18">
        <v>830</v>
      </c>
      <c r="B860" s="5">
        <v>1.908944691485177E-2</v>
      </c>
    </row>
    <row r="861" spans="1:2" x14ac:dyDescent="0.25">
      <c r="A861" s="18">
        <v>831</v>
      </c>
      <c r="B861" s="5">
        <v>6.1878620964760413E-3</v>
      </c>
    </row>
    <row r="862" spans="1:2" x14ac:dyDescent="0.25">
      <c r="A862" s="18">
        <v>832</v>
      </c>
      <c r="B862" s="5">
        <v>3.9276412264429607E-2</v>
      </c>
    </row>
    <row r="863" spans="1:2" x14ac:dyDescent="0.25">
      <c r="A863" s="18">
        <v>833</v>
      </c>
      <c r="B863" s="5">
        <v>3.87840208465473E-2</v>
      </c>
    </row>
    <row r="864" spans="1:2" x14ac:dyDescent="0.25">
      <c r="A864" s="18">
        <v>834</v>
      </c>
      <c r="B864" s="5">
        <v>-1.6827112194488292E-2</v>
      </c>
    </row>
    <row r="865" spans="1:2" x14ac:dyDescent="0.25">
      <c r="A865" s="18">
        <v>835</v>
      </c>
      <c r="B865" s="5">
        <v>1.4619563487450929E-2</v>
      </c>
    </row>
    <row r="866" spans="1:2" x14ac:dyDescent="0.25">
      <c r="A866" s="18">
        <v>836</v>
      </c>
      <c r="B866" s="5">
        <v>3.4992859137171969E-2</v>
      </c>
    </row>
    <row r="867" spans="1:2" x14ac:dyDescent="0.25">
      <c r="A867" s="18">
        <v>837</v>
      </c>
      <c r="B867" s="5">
        <v>1.2617424352649226E-2</v>
      </c>
    </row>
    <row r="868" spans="1:2" x14ac:dyDescent="0.25">
      <c r="A868" s="18">
        <v>838</v>
      </c>
      <c r="B868" s="5">
        <v>2.3604587186715893E-2</v>
      </c>
    </row>
    <row r="869" spans="1:2" x14ac:dyDescent="0.25">
      <c r="A869" s="18">
        <v>839</v>
      </c>
      <c r="B869" s="5">
        <v>1.1907974217258147E-2</v>
      </c>
    </row>
    <row r="870" spans="1:2" x14ac:dyDescent="0.25">
      <c r="A870" s="18">
        <v>840</v>
      </c>
      <c r="B870" s="5">
        <v>3.1733249404761923E-2</v>
      </c>
    </row>
    <row r="871" spans="1:2" x14ac:dyDescent="0.25">
      <c r="A871" s="18">
        <v>841</v>
      </c>
      <c r="B871" s="5">
        <v>-3.5355119232734961E-2</v>
      </c>
    </row>
    <row r="872" spans="1:2" x14ac:dyDescent="0.25">
      <c r="A872" s="18">
        <v>842</v>
      </c>
      <c r="B872" s="5">
        <v>3.1847963337570645E-2</v>
      </c>
    </row>
    <row r="873" spans="1:2" x14ac:dyDescent="0.25">
      <c r="A873" s="18">
        <v>843</v>
      </c>
      <c r="B873" s="5">
        <v>-8.1906992535354071E-3</v>
      </c>
    </row>
    <row r="874" spans="1:2" x14ac:dyDescent="0.25">
      <c r="A874" s="18">
        <v>844</v>
      </c>
      <c r="B874" s="5">
        <v>-1.1343481365758558E-2</v>
      </c>
    </row>
    <row r="875" spans="1:2" x14ac:dyDescent="0.25">
      <c r="A875" s="18">
        <v>845</v>
      </c>
      <c r="B875" s="5">
        <v>-1.1944505405273358E-2</v>
      </c>
    </row>
    <row r="876" spans="1:2" x14ac:dyDescent="0.25">
      <c r="A876" s="18">
        <v>846</v>
      </c>
      <c r="B876" s="5">
        <v>1.2041604009750411E-3</v>
      </c>
    </row>
    <row r="877" spans="1:2" x14ac:dyDescent="0.25">
      <c r="A877" s="18">
        <v>847</v>
      </c>
      <c r="B877" s="5">
        <v>-1.8799874820866966E-2</v>
      </c>
    </row>
    <row r="878" spans="1:2" x14ac:dyDescent="0.25">
      <c r="A878" s="18">
        <v>848</v>
      </c>
      <c r="B878" s="5">
        <v>-2.5949829291827275E-2</v>
      </c>
    </row>
    <row r="879" spans="1:2" x14ac:dyDescent="0.25">
      <c r="A879" s="18">
        <v>849</v>
      </c>
      <c r="B879" s="5">
        <v>-3.235285503899786E-2</v>
      </c>
    </row>
    <row r="880" spans="1:2" x14ac:dyDescent="0.25">
      <c r="A880" s="18">
        <v>850</v>
      </c>
      <c r="B880" s="5">
        <v>2.1393715915830388E-2</v>
      </c>
    </row>
    <row r="881" spans="1:2" x14ac:dyDescent="0.25">
      <c r="A881" s="18">
        <v>851</v>
      </c>
      <c r="B881" s="5">
        <v>9.9634779820856126E-3</v>
      </c>
    </row>
    <row r="882" spans="1:2" x14ac:dyDescent="0.25">
      <c r="A882" s="18">
        <v>852</v>
      </c>
      <c r="B882" s="5">
        <v>1.8036743420429789E-2</v>
      </c>
    </row>
    <row r="883" spans="1:2" x14ac:dyDescent="0.25">
      <c r="A883" s="18">
        <v>853</v>
      </c>
      <c r="B883" s="5">
        <v>3.0871986346705904E-2</v>
      </c>
    </row>
    <row r="884" spans="1:2" x14ac:dyDescent="0.25">
      <c r="A884" s="18">
        <v>854</v>
      </c>
      <c r="B884" s="5">
        <v>-7.0458697752312461E-3</v>
      </c>
    </row>
    <row r="885" spans="1:2" x14ac:dyDescent="0.25">
      <c r="A885" s="18">
        <v>855</v>
      </c>
      <c r="B885" s="5">
        <v>-2.7975565426079461E-2</v>
      </c>
    </row>
    <row r="886" spans="1:2" x14ac:dyDescent="0.25">
      <c r="A886" s="18">
        <v>856</v>
      </c>
      <c r="B886" s="5">
        <v>4.6656851086257965E-2</v>
      </c>
    </row>
    <row r="887" spans="1:2" x14ac:dyDescent="0.25">
      <c r="A887" s="18">
        <v>857</v>
      </c>
      <c r="B887" s="5">
        <v>3.0985272538695527E-2</v>
      </c>
    </row>
    <row r="888" spans="1:2" x14ac:dyDescent="0.25">
      <c r="A888" s="18">
        <v>858</v>
      </c>
      <c r="B888" s="5">
        <v>3.2144945119974122E-2</v>
      </c>
    </row>
    <row r="889" spans="1:2" x14ac:dyDescent="0.25">
      <c r="A889" s="18">
        <v>859</v>
      </c>
      <c r="B889" s="5">
        <v>3.2150020615906487E-2</v>
      </c>
    </row>
    <row r="890" spans="1:2" x14ac:dyDescent="0.25">
      <c r="A890" s="18">
        <v>860</v>
      </c>
      <c r="B890" s="5">
        <v>3.9982410961062302E-2</v>
      </c>
    </row>
    <row r="891" spans="1:2" x14ac:dyDescent="0.25">
      <c r="A891" s="18">
        <v>861</v>
      </c>
      <c r="B891" s="5">
        <v>1.8321420141910083E-3</v>
      </c>
    </row>
    <row r="892" spans="1:2" x14ac:dyDescent="0.25">
      <c r="A892" s="18">
        <v>862</v>
      </c>
      <c r="B892" s="5">
        <v>4.2245405922583981E-2</v>
      </c>
    </row>
    <row r="893" spans="1:2" x14ac:dyDescent="0.25">
      <c r="A893" s="18">
        <v>863</v>
      </c>
      <c r="B893" s="5">
        <v>3.0877908390520185E-2</v>
      </c>
    </row>
    <row r="894" spans="1:2" x14ac:dyDescent="0.25">
      <c r="A894" s="18">
        <v>864</v>
      </c>
      <c r="B894" s="5">
        <v>2.566339257715209E-2</v>
      </c>
    </row>
    <row r="895" spans="1:2" x14ac:dyDescent="0.25">
      <c r="A895" s="18">
        <v>865</v>
      </c>
      <c r="B895" s="5">
        <v>1.7229967825310701E-2</v>
      </c>
    </row>
    <row r="896" spans="1:2" x14ac:dyDescent="0.25">
      <c r="A896" s="18">
        <v>866</v>
      </c>
      <c r="B896" s="5">
        <v>-1.2453482753108341E-2</v>
      </c>
    </row>
    <row r="897" spans="1:2" x14ac:dyDescent="0.25">
      <c r="A897" s="18">
        <v>867</v>
      </c>
      <c r="B897" s="5">
        <v>-7.048580633838163E-3</v>
      </c>
    </row>
    <row r="898" spans="1:2" x14ac:dyDescent="0.25">
      <c r="A898" s="18">
        <v>868</v>
      </c>
      <c r="B898" s="5">
        <v>2.0885236594993299E-2</v>
      </c>
    </row>
    <row r="899" spans="1:2" x14ac:dyDescent="0.25">
      <c r="A899" s="18">
        <v>869</v>
      </c>
      <c r="B899" s="5">
        <v>2.2110108887004477E-2</v>
      </c>
    </row>
    <row r="900" spans="1:2" x14ac:dyDescent="0.25">
      <c r="A900" s="18">
        <v>870</v>
      </c>
      <c r="B900" s="5">
        <v>2.8247431074742951E-2</v>
      </c>
    </row>
    <row r="901" spans="1:2" x14ac:dyDescent="0.25">
      <c r="A901" s="18">
        <v>871</v>
      </c>
      <c r="B901" s="5">
        <v>1.0912623658171777E-2</v>
      </c>
    </row>
    <row r="902" spans="1:2" x14ac:dyDescent="0.25">
      <c r="A902" s="18">
        <v>872</v>
      </c>
      <c r="B902" s="5">
        <v>4.6743352579484997E-2</v>
      </c>
    </row>
    <row r="903" spans="1:2" x14ac:dyDescent="0.25">
      <c r="A903" s="18">
        <v>873</v>
      </c>
      <c r="B903" s="5">
        <v>1.2314863981863829E-2</v>
      </c>
    </row>
    <row r="904" spans="1:2" x14ac:dyDescent="0.25">
      <c r="A904" s="18">
        <v>874</v>
      </c>
      <c r="B904" s="5">
        <v>2.1802276249023787E-2</v>
      </c>
    </row>
    <row r="905" spans="1:2" x14ac:dyDescent="0.25">
      <c r="A905" s="18">
        <v>875</v>
      </c>
      <c r="B905" s="5">
        <v>3.8880792492094786E-2</v>
      </c>
    </row>
    <row r="906" spans="1:2" x14ac:dyDescent="0.25">
      <c r="A906" s="18">
        <v>876</v>
      </c>
      <c r="B906" s="5">
        <v>5.3148195280051769E-2</v>
      </c>
    </row>
    <row r="907" spans="1:2" x14ac:dyDescent="0.25">
      <c r="A907" s="18">
        <v>877</v>
      </c>
      <c r="B907" s="5">
        <v>-9.8521524602039993E-3</v>
      </c>
    </row>
    <row r="908" spans="1:2" x14ac:dyDescent="0.25">
      <c r="A908" s="18">
        <v>878</v>
      </c>
      <c r="B908" s="5">
        <v>3.4823767278508166E-2</v>
      </c>
    </row>
    <row r="909" spans="1:2" x14ac:dyDescent="0.25">
      <c r="A909" s="18">
        <v>879</v>
      </c>
      <c r="B909" s="5">
        <v>1.9346033757175824E-2</v>
      </c>
    </row>
    <row r="910" spans="1:2" x14ac:dyDescent="0.25">
      <c r="A910" s="18">
        <v>880</v>
      </c>
      <c r="B910" s="5">
        <v>-1.4589596514670202E-3</v>
      </c>
    </row>
    <row r="911" spans="1:2" x14ac:dyDescent="0.25">
      <c r="A911" s="18">
        <v>881</v>
      </c>
      <c r="B911" s="5">
        <v>8.3342238185618121E-3</v>
      </c>
    </row>
    <row r="912" spans="1:2" x14ac:dyDescent="0.25">
      <c r="A912" s="18">
        <v>882</v>
      </c>
      <c r="B912" s="5">
        <v>3.0008292461684453E-2</v>
      </c>
    </row>
    <row r="913" spans="1:2" x14ac:dyDescent="0.25">
      <c r="A913" s="18">
        <v>883</v>
      </c>
      <c r="B913" s="5">
        <v>-2.2446779323245791E-3</v>
      </c>
    </row>
    <row r="914" spans="1:2" x14ac:dyDescent="0.25">
      <c r="A914" s="18">
        <v>884</v>
      </c>
      <c r="B914" s="5">
        <v>6.3630404892091624E-2</v>
      </c>
    </row>
    <row r="915" spans="1:2" x14ac:dyDescent="0.25">
      <c r="A915" s="18">
        <v>885</v>
      </c>
      <c r="B915" s="5">
        <v>-1.345315135232189E-2</v>
      </c>
    </row>
    <row r="916" spans="1:2" x14ac:dyDescent="0.25">
      <c r="A916" s="18">
        <v>886</v>
      </c>
      <c r="B916" s="5">
        <v>-3.717349345554069E-2</v>
      </c>
    </row>
    <row r="917" spans="1:2" x14ac:dyDescent="0.25">
      <c r="A917" s="18">
        <v>887</v>
      </c>
      <c r="B917" s="5">
        <v>-3.8560091802683466E-2</v>
      </c>
    </row>
    <row r="918" spans="1:2" x14ac:dyDescent="0.25">
      <c r="A918" s="18">
        <v>888</v>
      </c>
      <c r="B918" s="5">
        <v>2.8813973101819903E-2</v>
      </c>
    </row>
    <row r="919" spans="1:2" x14ac:dyDescent="0.25">
      <c r="A919" s="18">
        <v>889</v>
      </c>
      <c r="B919" s="5">
        <v>-5.1186947763078861E-2</v>
      </c>
    </row>
    <row r="920" spans="1:2" x14ac:dyDescent="0.25">
      <c r="A920" s="18">
        <v>890</v>
      </c>
      <c r="B920" s="5">
        <v>5.931817193256541E-2</v>
      </c>
    </row>
    <row r="921" spans="1:2" x14ac:dyDescent="0.25">
      <c r="A921" s="18">
        <v>891</v>
      </c>
      <c r="B921" s="5">
        <v>1.0412557906843234E-2</v>
      </c>
    </row>
    <row r="922" spans="1:2" x14ac:dyDescent="0.25">
      <c r="A922" s="18">
        <v>892</v>
      </c>
      <c r="B922" s="5">
        <v>1.1211547963243711E-2</v>
      </c>
    </row>
    <row r="923" spans="1:2" x14ac:dyDescent="0.25">
      <c r="A923" s="18">
        <v>893</v>
      </c>
      <c r="B923" s="5">
        <v>2.0562013483991139E-2</v>
      </c>
    </row>
    <row r="924" spans="1:2" x14ac:dyDescent="0.25">
      <c r="A924" s="18">
        <v>894</v>
      </c>
      <c r="B924" s="5">
        <v>3.9170758156268373E-2</v>
      </c>
    </row>
    <row r="925" spans="1:2" x14ac:dyDescent="0.25">
      <c r="A925" s="18">
        <v>895</v>
      </c>
      <c r="B925" s="5">
        <v>-2.5285118607901884E-2</v>
      </c>
    </row>
    <row r="926" spans="1:2" x14ac:dyDescent="0.25">
      <c r="A926" s="18">
        <v>896</v>
      </c>
      <c r="B926" s="5">
        <v>-3.0040846234071814E-2</v>
      </c>
    </row>
    <row r="927" spans="1:2" x14ac:dyDescent="0.25">
      <c r="A927" s="18">
        <v>897</v>
      </c>
      <c r="B927" s="5">
        <v>3.8825858768333889E-3</v>
      </c>
    </row>
    <row r="928" spans="1:2" x14ac:dyDescent="0.25">
      <c r="A928" s="18">
        <v>898</v>
      </c>
      <c r="B928" s="5">
        <v>2.7342499293393396E-2</v>
      </c>
    </row>
    <row r="929" spans="1:2" x14ac:dyDescent="0.25">
      <c r="A929" s="18">
        <v>899</v>
      </c>
      <c r="B929" s="5">
        <v>1.7290292875724068E-2</v>
      </c>
    </row>
    <row r="930" spans="1:2" x14ac:dyDescent="0.25">
      <c r="A930" s="18">
        <v>900</v>
      </c>
      <c r="B930" s="5">
        <v>-2.4181028923930876E-2</v>
      </c>
    </row>
    <row r="931" spans="1:2" x14ac:dyDescent="0.25">
      <c r="A931" s="18">
        <v>901</v>
      </c>
      <c r="B931" s="5">
        <v>6.2894273608643698E-3</v>
      </c>
    </row>
    <row r="932" spans="1:2" x14ac:dyDescent="0.25">
      <c r="A932" s="18">
        <v>902</v>
      </c>
      <c r="B932" s="5">
        <v>-1.6929955114637553E-2</v>
      </c>
    </row>
    <row r="933" spans="1:2" x14ac:dyDescent="0.25">
      <c r="A933" s="18">
        <v>903</v>
      </c>
      <c r="B933" s="5">
        <v>7.232986923993967E-2</v>
      </c>
    </row>
    <row r="934" spans="1:2" x14ac:dyDescent="0.25">
      <c r="A934" s="18">
        <v>904</v>
      </c>
      <c r="B934" s="5">
        <v>8.3224587611678575E-3</v>
      </c>
    </row>
    <row r="935" spans="1:2" x14ac:dyDescent="0.25">
      <c r="A935" s="18">
        <v>905</v>
      </c>
      <c r="B935" s="5">
        <v>-3.2298878445049757E-2</v>
      </c>
    </row>
    <row r="936" spans="1:2" x14ac:dyDescent="0.25">
      <c r="A936" s="18">
        <v>906</v>
      </c>
      <c r="B936" s="5">
        <v>-3.2827974034600159E-2</v>
      </c>
    </row>
    <row r="937" spans="1:2" x14ac:dyDescent="0.25">
      <c r="A937" s="18">
        <v>907</v>
      </c>
      <c r="B937" s="5">
        <v>-1.8032363449086163E-2</v>
      </c>
    </row>
    <row r="938" spans="1:2" x14ac:dyDescent="0.25">
      <c r="A938" s="18">
        <v>908</v>
      </c>
      <c r="B938" s="5">
        <v>-4.2832182827764846E-2</v>
      </c>
    </row>
    <row r="939" spans="1:2" x14ac:dyDescent="0.25">
      <c r="A939" s="18">
        <v>909</v>
      </c>
      <c r="B939" s="5">
        <v>4.6659907973882805E-3</v>
      </c>
    </row>
    <row r="940" spans="1:2" x14ac:dyDescent="0.25">
      <c r="A940" s="18">
        <v>910</v>
      </c>
      <c r="B940" s="5">
        <v>1.6332284288390349E-2</v>
      </c>
    </row>
    <row r="941" spans="1:2" x14ac:dyDescent="0.25">
      <c r="A941" s="18">
        <v>911</v>
      </c>
      <c r="B941" s="5">
        <v>9.4567993985401402E-3</v>
      </c>
    </row>
    <row r="942" spans="1:2" x14ac:dyDescent="0.25">
      <c r="A942" s="18">
        <v>912</v>
      </c>
      <c r="B942" s="5">
        <v>2.6547842172956825E-2</v>
      </c>
    </row>
    <row r="943" spans="1:2" x14ac:dyDescent="0.25">
      <c r="A943" s="18">
        <v>913</v>
      </c>
      <c r="B943" s="5">
        <v>3.4729734541874696E-2</v>
      </c>
    </row>
    <row r="944" spans="1:2" x14ac:dyDescent="0.25">
      <c r="A944" s="18">
        <v>914</v>
      </c>
      <c r="B944" s="5">
        <v>1.8858122154909566E-2</v>
      </c>
    </row>
    <row r="945" spans="1:2" x14ac:dyDescent="0.25">
      <c r="A945" s="18">
        <v>915</v>
      </c>
      <c r="B945" s="5">
        <v>-2.3890316439980137E-2</v>
      </c>
    </row>
    <row r="946" spans="1:2" x14ac:dyDescent="0.25">
      <c r="A946" s="18">
        <v>916</v>
      </c>
      <c r="B946" s="5">
        <v>5.3634630305368698E-2</v>
      </c>
    </row>
    <row r="947" spans="1:2" x14ac:dyDescent="0.25">
      <c r="A947" s="18">
        <v>917</v>
      </c>
      <c r="B947" s="5">
        <v>4.0935567311280785E-2</v>
      </c>
    </row>
    <row r="948" spans="1:2" x14ac:dyDescent="0.25">
      <c r="A948" s="18">
        <v>918</v>
      </c>
      <c r="B948" s="5">
        <v>2.0474663940063493E-2</v>
      </c>
    </row>
    <row r="949" spans="1:2" x14ac:dyDescent="0.25">
      <c r="A949" s="18">
        <v>919</v>
      </c>
      <c r="B949" s="5">
        <v>-2.2613923404142932E-3</v>
      </c>
    </row>
    <row r="950" spans="1:2" x14ac:dyDescent="0.25">
      <c r="A950" s="18">
        <v>920</v>
      </c>
      <c r="B950" s="5">
        <v>6.9248979479115038E-3</v>
      </c>
    </row>
    <row r="951" spans="1:2" x14ac:dyDescent="0.25">
      <c r="A951" s="18">
        <v>921</v>
      </c>
      <c r="B951" s="5">
        <v>3.3912874358370711E-2</v>
      </c>
    </row>
    <row r="952" spans="1:2" x14ac:dyDescent="0.25">
      <c r="A952" s="18">
        <v>922</v>
      </c>
      <c r="B952" s="5">
        <v>1.1224502258104754E-3</v>
      </c>
    </row>
    <row r="953" spans="1:2" x14ac:dyDescent="0.25">
      <c r="A953" s="18">
        <v>923</v>
      </c>
      <c r="B953" s="5">
        <v>8.5019662342393516E-3</v>
      </c>
    </row>
    <row r="954" spans="1:2" x14ac:dyDescent="0.25">
      <c r="A954" s="18">
        <v>924</v>
      </c>
      <c r="B954" s="5">
        <v>1.4455236445766292E-2</v>
      </c>
    </row>
    <row r="955" spans="1:2" x14ac:dyDescent="0.25">
      <c r="A955" s="18">
        <v>925</v>
      </c>
      <c r="B955" s="5">
        <v>5.0793033436930578E-3</v>
      </c>
    </row>
    <row r="956" spans="1:2" x14ac:dyDescent="0.25">
      <c r="A956" s="18">
        <v>926</v>
      </c>
      <c r="B956" s="5">
        <v>4.9898187286614409E-2</v>
      </c>
    </row>
    <row r="957" spans="1:2" x14ac:dyDescent="0.25">
      <c r="A957" s="18">
        <v>927</v>
      </c>
      <c r="B957" s="5">
        <v>-3.0560685781297588E-3</v>
      </c>
    </row>
    <row r="958" spans="1:2" x14ac:dyDescent="0.25">
      <c r="A958" s="18">
        <v>928</v>
      </c>
      <c r="B958" s="5">
        <v>-1.5580393011704882E-2</v>
      </c>
    </row>
    <row r="959" spans="1:2" x14ac:dyDescent="0.25">
      <c r="A959" s="18">
        <v>929</v>
      </c>
      <c r="B959" s="5">
        <v>-2.9869629879762938E-2</v>
      </c>
    </row>
    <row r="960" spans="1:2" x14ac:dyDescent="0.25">
      <c r="A960" s="18">
        <v>930</v>
      </c>
      <c r="B960" s="5">
        <v>3.4596951066906502E-2</v>
      </c>
    </row>
    <row r="961" spans="1:2" x14ac:dyDescent="0.25">
      <c r="A961" s="18">
        <v>931</v>
      </c>
      <c r="B961" s="5">
        <v>1.1309803147225432E-2</v>
      </c>
    </row>
    <row r="962" spans="1:2" x14ac:dyDescent="0.25">
      <c r="A962" s="18">
        <v>932</v>
      </c>
      <c r="B962" s="5">
        <v>2.5453069824038752E-2</v>
      </c>
    </row>
    <row r="963" spans="1:2" x14ac:dyDescent="0.25">
      <c r="A963" s="18">
        <v>933</v>
      </c>
      <c r="B963" s="5">
        <v>3.225316794355864E-2</v>
      </c>
    </row>
    <row r="964" spans="1:2" x14ac:dyDescent="0.25">
      <c r="A964" s="18">
        <v>934</v>
      </c>
      <c r="B964" s="5">
        <v>-1.6950997928656876E-2</v>
      </c>
    </row>
    <row r="965" spans="1:2" x14ac:dyDescent="0.25">
      <c r="A965" s="18">
        <v>935</v>
      </c>
      <c r="B965" s="5">
        <v>-3.8552540514732753E-2</v>
      </c>
    </row>
    <row r="966" spans="1:2" x14ac:dyDescent="0.25">
      <c r="A966" s="18">
        <v>936</v>
      </c>
      <c r="B966" s="5">
        <v>3.3609496182270167E-2</v>
      </c>
    </row>
    <row r="967" spans="1:2" x14ac:dyDescent="0.25">
      <c r="A967" s="18">
        <v>937</v>
      </c>
      <c r="B967" s="5">
        <v>-9.4691526669103427E-4</v>
      </c>
    </row>
    <row r="968" spans="1:2" x14ac:dyDescent="0.25">
      <c r="A968" s="18">
        <v>938</v>
      </c>
      <c r="B968" s="5">
        <v>8.1911840556480424E-3</v>
      </c>
    </row>
    <row r="969" spans="1:2" x14ac:dyDescent="0.25">
      <c r="A969" s="18">
        <v>939</v>
      </c>
      <c r="B969" s="5">
        <v>3.384448503172861E-3</v>
      </c>
    </row>
    <row r="970" spans="1:2" x14ac:dyDescent="0.25">
      <c r="A970" s="18">
        <v>940</v>
      </c>
      <c r="B970" s="5">
        <v>1.6966809675810303E-2</v>
      </c>
    </row>
    <row r="971" spans="1:2" x14ac:dyDescent="0.25">
      <c r="A971" s="18">
        <v>941</v>
      </c>
      <c r="B971" s="5">
        <v>-1.4855251019246286E-3</v>
      </c>
    </row>
    <row r="972" spans="1:2" x14ac:dyDescent="0.25">
      <c r="A972" s="18">
        <v>942</v>
      </c>
      <c r="B972" s="5">
        <v>-1.407778830807619E-3</v>
      </c>
    </row>
    <row r="973" spans="1:2" x14ac:dyDescent="0.25">
      <c r="A973" s="18">
        <v>943</v>
      </c>
      <c r="B973" s="5">
        <v>4.5763589942015931E-2</v>
      </c>
    </row>
    <row r="974" spans="1:2" x14ac:dyDescent="0.25">
      <c r="A974" s="18">
        <v>944</v>
      </c>
      <c r="B974" s="5">
        <v>1.2165152099845786E-2</v>
      </c>
    </row>
    <row r="975" spans="1:2" x14ac:dyDescent="0.25">
      <c r="A975" s="18">
        <v>945</v>
      </c>
      <c r="B975" s="5">
        <v>-1.0932193114544918E-3</v>
      </c>
    </row>
    <row r="976" spans="1:2" x14ac:dyDescent="0.25">
      <c r="A976" s="18">
        <v>946</v>
      </c>
      <c r="B976" s="5">
        <v>1.4113132138343962E-2</v>
      </c>
    </row>
    <row r="977" spans="1:2" x14ac:dyDescent="0.25">
      <c r="A977" s="18">
        <v>947</v>
      </c>
      <c r="B977" s="5">
        <v>3.2503454713953092E-2</v>
      </c>
    </row>
    <row r="978" spans="1:2" x14ac:dyDescent="0.25">
      <c r="A978" s="18">
        <v>948</v>
      </c>
      <c r="B978" s="5">
        <v>4.1675881782536714E-2</v>
      </c>
    </row>
    <row r="979" spans="1:2" x14ac:dyDescent="0.25">
      <c r="A979" s="18">
        <v>949</v>
      </c>
      <c r="B979" s="5">
        <v>6.2712804694780386E-3</v>
      </c>
    </row>
    <row r="980" spans="1:2" x14ac:dyDescent="0.25">
      <c r="A980" s="18">
        <v>950</v>
      </c>
      <c r="B980" s="5">
        <v>3.0315368906193144E-2</v>
      </c>
    </row>
    <row r="981" spans="1:2" x14ac:dyDescent="0.25">
      <c r="A981" s="18">
        <v>951</v>
      </c>
      <c r="B981" s="5">
        <v>2.2439771808732842E-2</v>
      </c>
    </row>
    <row r="982" spans="1:2" x14ac:dyDescent="0.25">
      <c r="A982" s="18">
        <v>952</v>
      </c>
      <c r="B982" s="5">
        <v>4.4856900224092174E-2</v>
      </c>
    </row>
    <row r="983" spans="1:2" x14ac:dyDescent="0.25">
      <c r="A983" s="18">
        <v>953</v>
      </c>
      <c r="B983" s="5">
        <v>-1.0506217257867587E-3</v>
      </c>
    </row>
    <row r="984" spans="1:2" x14ac:dyDescent="0.25">
      <c r="A984" s="18">
        <v>954</v>
      </c>
      <c r="B984" s="5">
        <v>3.1035463582477919E-2</v>
      </c>
    </row>
    <row r="985" spans="1:2" x14ac:dyDescent="0.25">
      <c r="A985" s="18">
        <v>955</v>
      </c>
      <c r="B985" s="5">
        <v>4.0862457868988879E-2</v>
      </c>
    </row>
    <row r="986" spans="1:2" x14ac:dyDescent="0.25">
      <c r="A986" s="18">
        <v>956</v>
      </c>
      <c r="B986" s="5">
        <v>8.1450790049944655E-2</v>
      </c>
    </row>
    <row r="987" spans="1:2" x14ac:dyDescent="0.25">
      <c r="A987" s="18">
        <v>957</v>
      </c>
      <c r="B987" s="5">
        <v>5.2186518069107839E-2</v>
      </c>
    </row>
    <row r="988" spans="1:2" x14ac:dyDescent="0.25">
      <c r="A988" s="18">
        <v>958</v>
      </c>
      <c r="B988" s="5">
        <v>5.132926711059773E-2</v>
      </c>
    </row>
    <row r="989" spans="1:2" x14ac:dyDescent="0.25">
      <c r="A989" s="18">
        <v>959</v>
      </c>
      <c r="B989" s="5">
        <v>7.8294418339016417E-3</v>
      </c>
    </row>
    <row r="990" spans="1:2" x14ac:dyDescent="0.25">
      <c r="A990" s="18">
        <v>960</v>
      </c>
      <c r="B990" s="5">
        <v>7.1952451912278212E-3</v>
      </c>
    </row>
    <row r="991" spans="1:2" x14ac:dyDescent="0.25">
      <c r="A991" s="18">
        <v>961</v>
      </c>
      <c r="B991" s="5">
        <v>-7.4120052507481396E-2</v>
      </c>
    </row>
    <row r="992" spans="1:2" x14ac:dyDescent="0.25">
      <c r="A992" s="18">
        <v>962</v>
      </c>
      <c r="B992" s="5">
        <v>1.7688811905847814E-3</v>
      </c>
    </row>
    <row r="993" spans="1:2" x14ac:dyDescent="0.25">
      <c r="A993" s="18">
        <v>963</v>
      </c>
      <c r="B993" s="5">
        <v>1.1937832220505237E-3</v>
      </c>
    </row>
    <row r="994" spans="1:2" x14ac:dyDescent="0.25">
      <c r="A994" s="18">
        <v>964</v>
      </c>
      <c r="B994" s="5">
        <v>-6.0074936683995068E-3</v>
      </c>
    </row>
    <row r="995" spans="1:2" x14ac:dyDescent="0.25">
      <c r="A995" s="18">
        <v>965</v>
      </c>
      <c r="B995" s="5">
        <v>-1.5045988040744078E-2</v>
      </c>
    </row>
    <row r="996" spans="1:2" x14ac:dyDescent="0.25">
      <c r="A996" s="18">
        <v>966</v>
      </c>
      <c r="B996" s="5">
        <v>3.8851240640235558E-3</v>
      </c>
    </row>
    <row r="997" spans="1:2" x14ac:dyDescent="0.25">
      <c r="A997" s="18">
        <v>967</v>
      </c>
      <c r="B997" s="5">
        <v>-1.8486040524834588E-2</v>
      </c>
    </row>
    <row r="998" spans="1:2" x14ac:dyDescent="0.25">
      <c r="A998" s="18">
        <v>968</v>
      </c>
      <c r="B998" s="5">
        <v>-8.0670655443677783E-3</v>
      </c>
    </row>
    <row r="999" spans="1:2" x14ac:dyDescent="0.25">
      <c r="A999" s="18">
        <v>969</v>
      </c>
      <c r="B999" s="5">
        <v>4.5465900999560022E-2</v>
      </c>
    </row>
    <row r="1000" spans="1:2" x14ac:dyDescent="0.25">
      <c r="A1000" s="18">
        <v>970</v>
      </c>
      <c r="B1000" s="5">
        <v>3.482410572685634E-2</v>
      </c>
    </row>
    <row r="1001" spans="1:2" x14ac:dyDescent="0.25">
      <c r="A1001" s="18">
        <v>971</v>
      </c>
      <c r="B1001" s="5">
        <v>-1.3011334000181689E-2</v>
      </c>
    </row>
    <row r="1002" spans="1:2" x14ac:dyDescent="0.25">
      <c r="A1002" s="18">
        <v>972</v>
      </c>
      <c r="B1002" s="5">
        <v>-2.7076055551442432E-2</v>
      </c>
    </row>
    <row r="1003" spans="1:2" x14ac:dyDescent="0.25">
      <c r="A1003" s="18">
        <v>973</v>
      </c>
      <c r="B1003" s="5">
        <v>5.4765326197069768E-3</v>
      </c>
    </row>
    <row r="1004" spans="1:2" x14ac:dyDescent="0.25">
      <c r="A1004" s="18">
        <v>974</v>
      </c>
      <c r="B1004" s="5">
        <v>-1.1542013772075971E-2</v>
      </c>
    </row>
    <row r="1005" spans="1:2" x14ac:dyDescent="0.25">
      <c r="A1005" s="18">
        <v>975</v>
      </c>
      <c r="B1005" s="5">
        <v>-2.5227111732871607E-2</v>
      </c>
    </row>
    <row r="1006" spans="1:2" x14ac:dyDescent="0.25">
      <c r="A1006" s="18">
        <v>976</v>
      </c>
      <c r="B1006" s="5">
        <v>5.9306658909371215E-2</v>
      </c>
    </row>
    <row r="1007" spans="1:2" x14ac:dyDescent="0.25">
      <c r="A1007" s="18">
        <v>977</v>
      </c>
      <c r="B1007" s="5">
        <v>-9.4513822663601019E-3</v>
      </c>
    </row>
    <row r="1008" spans="1:2" x14ac:dyDescent="0.25">
      <c r="A1008" s="18">
        <v>978</v>
      </c>
      <c r="B1008" s="5">
        <v>-1.3076527607394431E-3</v>
      </c>
    </row>
    <row r="1009" spans="1:2" x14ac:dyDescent="0.25">
      <c r="A1009" s="18">
        <v>979</v>
      </c>
      <c r="B1009" s="5">
        <v>-6.5241795856924275E-3</v>
      </c>
    </row>
    <row r="1010" spans="1:2" x14ac:dyDescent="0.25">
      <c r="A1010" s="18">
        <v>980</v>
      </c>
      <c r="B1010" s="5">
        <v>-1.7882400953169883E-2</v>
      </c>
    </row>
    <row r="1011" spans="1:2" x14ac:dyDescent="0.25">
      <c r="A1011" s="18">
        <v>981</v>
      </c>
      <c r="B1011" s="5">
        <v>1.2146930146756139E-2</v>
      </c>
    </row>
    <row r="1012" spans="1:2" x14ac:dyDescent="0.25">
      <c r="A1012" s="18">
        <v>982</v>
      </c>
      <c r="B1012" s="5">
        <v>3.7745472903953844E-2</v>
      </c>
    </row>
    <row r="1013" spans="1:2" x14ac:dyDescent="0.25">
      <c r="A1013" s="18">
        <v>983</v>
      </c>
      <c r="B1013" s="5">
        <v>1.3559214689967892E-2</v>
      </c>
    </row>
    <row r="1014" spans="1:2" x14ac:dyDescent="0.25">
      <c r="A1014" s="18">
        <v>984</v>
      </c>
      <c r="B1014" s="5">
        <v>1.7304018827440065E-2</v>
      </c>
    </row>
    <row r="1015" spans="1:2" x14ac:dyDescent="0.25">
      <c r="A1015" s="18">
        <v>985</v>
      </c>
      <c r="B1015" s="5">
        <v>2.5480299209467747E-2</v>
      </c>
    </row>
    <row r="1016" spans="1:2" x14ac:dyDescent="0.25">
      <c r="A1016" s="18">
        <v>986</v>
      </c>
      <c r="B1016" s="5">
        <v>8.120049960396291E-3</v>
      </c>
    </row>
    <row r="1017" spans="1:2" x14ac:dyDescent="0.25">
      <c r="A1017" s="18">
        <v>987</v>
      </c>
      <c r="B1017" s="5">
        <v>2.9021855699419171E-2</v>
      </c>
    </row>
    <row r="1018" spans="1:2" x14ac:dyDescent="0.25">
      <c r="A1018" s="18">
        <v>988</v>
      </c>
      <c r="B1018" s="5">
        <v>2.1440766021817156E-2</v>
      </c>
    </row>
    <row r="1019" spans="1:2" x14ac:dyDescent="0.25">
      <c r="A1019" s="18">
        <v>989</v>
      </c>
      <c r="B1019" s="5">
        <v>-9.1392580947430337E-3</v>
      </c>
    </row>
    <row r="1020" spans="1:2" x14ac:dyDescent="0.25">
      <c r="A1020" s="18">
        <v>990</v>
      </c>
      <c r="B1020" s="5">
        <v>-4.0180655733756017E-3</v>
      </c>
    </row>
    <row r="1021" spans="1:2" x14ac:dyDescent="0.25">
      <c r="A1021" s="18">
        <v>991</v>
      </c>
      <c r="B1021" s="5">
        <v>-1.5374024531681451E-2</v>
      </c>
    </row>
    <row r="1022" spans="1:2" x14ac:dyDescent="0.25">
      <c r="A1022" s="18">
        <v>992</v>
      </c>
      <c r="B1022" s="5">
        <v>-7.912223209193615E-3</v>
      </c>
    </row>
    <row r="1023" spans="1:2" x14ac:dyDescent="0.25">
      <c r="A1023" s="18">
        <v>993</v>
      </c>
      <c r="B1023" s="5">
        <v>7.3817648782266163E-3</v>
      </c>
    </row>
    <row r="1024" spans="1:2" x14ac:dyDescent="0.25">
      <c r="A1024" s="18">
        <v>994</v>
      </c>
      <c r="B1024" s="5">
        <v>8.9794042631697324E-3</v>
      </c>
    </row>
    <row r="1025" spans="1:2" x14ac:dyDescent="0.25">
      <c r="A1025" s="18">
        <v>995</v>
      </c>
      <c r="B1025" s="5">
        <v>1.5990190783441497E-2</v>
      </c>
    </row>
    <row r="1026" spans="1:2" x14ac:dyDescent="0.25">
      <c r="A1026" s="18">
        <v>996</v>
      </c>
      <c r="B1026" s="5">
        <v>9.0302478160274834E-5</v>
      </c>
    </row>
    <row r="1027" spans="1:2" x14ac:dyDescent="0.25">
      <c r="A1027" s="18">
        <v>997</v>
      </c>
      <c r="B1027" s="5">
        <v>-1.7634850657802535E-2</v>
      </c>
    </row>
    <row r="1028" spans="1:2" x14ac:dyDescent="0.25">
      <c r="A1028" s="18">
        <v>998</v>
      </c>
      <c r="B1028" s="5">
        <v>-1.2866412880034161E-2</v>
      </c>
    </row>
    <row r="1029" spans="1:2" x14ac:dyDescent="0.25">
      <c r="A1029" s="18">
        <v>999</v>
      </c>
      <c r="B1029" s="5">
        <v>-2.2743427353919664E-2</v>
      </c>
    </row>
    <row r="1030" spans="1:2" x14ac:dyDescent="0.25">
      <c r="A1030" s="18">
        <v>1000</v>
      </c>
      <c r="B1030" s="5">
        <v>-1.4684362387638573E-2</v>
      </c>
    </row>
    <row r="1034" spans="1:2" x14ac:dyDescent="0.25">
      <c r="B1034" s="5"/>
    </row>
  </sheetData>
  <mergeCells count="11">
    <mergeCell ref="A1:J1"/>
    <mergeCell ref="A8:C8"/>
    <mergeCell ref="A5:C5"/>
    <mergeCell ref="A16:C16"/>
    <mergeCell ref="A13:C13"/>
    <mergeCell ref="G2:J2"/>
    <mergeCell ref="L4:O6"/>
    <mergeCell ref="G3:I3"/>
    <mergeCell ref="J3:J4"/>
    <mergeCell ref="A2:C2"/>
    <mergeCell ref="A22:C22"/>
  </mergeCells>
  <printOptions headings="1" gridLines="1"/>
  <pageMargins left="0.7" right="0.7" top="0.75" bottom="0.75" header="0.3" footer="0.3"/>
  <pageSetup orientation="portrait" verticalDpi="4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22"/>
  <sheetViews>
    <sheetView zoomScale="130" zoomScaleNormal="130" workbookViewId="0">
      <selection activeCell="H4" sqref="H4"/>
    </sheetView>
  </sheetViews>
  <sheetFormatPr defaultColWidth="8.85546875" defaultRowHeight="14.25" x14ac:dyDescent="0.2"/>
  <cols>
    <col min="1" max="1" width="10.28515625" style="14" bestFit="1" customWidth="1"/>
    <col min="2" max="5" width="8.85546875" style="14"/>
    <col min="6" max="6" width="10.28515625" style="14" bestFit="1" customWidth="1"/>
    <col min="7" max="10" width="8.85546875" style="14"/>
    <col min="11" max="11" width="14.28515625" style="14" bestFit="1" customWidth="1"/>
    <col min="12" max="12" width="13.7109375" style="14" bestFit="1" customWidth="1"/>
    <col min="13" max="13" width="14.28515625" style="14" bestFit="1" customWidth="1"/>
    <col min="14" max="16384" width="8.85546875" style="14"/>
  </cols>
  <sheetData>
    <row r="1" spans="1:13" x14ac:dyDescent="0.2">
      <c r="A1" s="14" t="s">
        <v>1</v>
      </c>
      <c r="B1" s="14" t="s">
        <v>9</v>
      </c>
      <c r="C1" s="14" t="s">
        <v>10</v>
      </c>
      <c r="D1" s="14" t="s">
        <v>11</v>
      </c>
      <c r="F1" s="14" t="s">
        <v>1</v>
      </c>
      <c r="G1" s="14" t="s">
        <v>9</v>
      </c>
      <c r="H1" s="14" t="s">
        <v>10</v>
      </c>
      <c r="I1" s="14" t="s">
        <v>11</v>
      </c>
    </row>
    <row r="2" spans="1:13" x14ac:dyDescent="0.2">
      <c r="A2" s="15">
        <v>41298</v>
      </c>
      <c r="B2" s="14">
        <v>66.66</v>
      </c>
      <c r="C2" s="14">
        <v>149.41</v>
      </c>
      <c r="D2" s="14">
        <v>83.68</v>
      </c>
      <c r="F2" s="15">
        <v>41298</v>
      </c>
      <c r="K2" s="48" t="s">
        <v>24</v>
      </c>
      <c r="L2" s="49"/>
      <c r="M2" s="49"/>
    </row>
    <row r="3" spans="1:13" x14ac:dyDescent="0.2">
      <c r="A3" s="15">
        <v>41299</v>
      </c>
      <c r="B3" s="14">
        <v>67</v>
      </c>
      <c r="C3" s="14">
        <v>150.25</v>
      </c>
      <c r="D3" s="14">
        <v>83.41</v>
      </c>
      <c r="F3" s="15">
        <v>41299</v>
      </c>
      <c r="G3" s="14">
        <f>LN(B3/B2)</f>
        <v>5.0875465113724228E-3</v>
      </c>
      <c r="H3" s="14">
        <f>LN(C3/C2)</f>
        <v>5.6063685523235259E-3</v>
      </c>
      <c r="I3" s="14">
        <f>LN(D3/D2)</f>
        <v>-3.2317940630924111E-3</v>
      </c>
      <c r="K3" s="16">
        <f t="array" ref="K3:M5">varcovar(G3:I22)</f>
        <v>7.1699494558154038E-5</v>
      </c>
      <c r="L3" s="16">
        <v>5.0752595045729051E-5</v>
      </c>
      <c r="M3" s="16">
        <v>-9.0384135420826924E-6</v>
      </c>
    </row>
    <row r="4" spans="1:13" x14ac:dyDescent="0.2">
      <c r="A4" s="15">
        <v>41302</v>
      </c>
      <c r="B4" s="14">
        <v>67.150000000000006</v>
      </c>
      <c r="C4" s="14">
        <v>150.07</v>
      </c>
      <c r="D4" s="14">
        <v>83.31</v>
      </c>
      <c r="F4" s="15">
        <v>41302</v>
      </c>
      <c r="G4" s="14">
        <f t="shared" ref="G4:I22" si="0">LN(B4/B3)</f>
        <v>2.2363035782805166E-3</v>
      </c>
      <c r="H4" s="14">
        <f t="shared" si="0"/>
        <v>-1.1987215074187986E-3</v>
      </c>
      <c r="I4" s="14">
        <f t="shared" si="0"/>
        <v>-1.19961626670254E-3</v>
      </c>
      <c r="K4" s="16">
        <v>5.0752595045729051E-5</v>
      </c>
      <c r="L4" s="16">
        <v>4.069874585100621E-5</v>
      </c>
      <c r="M4" s="16">
        <v>-5.9897970938645836E-6</v>
      </c>
    </row>
    <row r="5" spans="1:13" x14ac:dyDescent="0.2">
      <c r="A5" s="15">
        <v>41303</v>
      </c>
      <c r="B5" s="14">
        <v>67.16</v>
      </c>
      <c r="C5" s="14">
        <v>150.66</v>
      </c>
      <c r="D5" s="14">
        <v>83.22</v>
      </c>
      <c r="F5" s="15">
        <v>41303</v>
      </c>
      <c r="G5" s="14">
        <f t="shared" si="0"/>
        <v>1.489092400933599E-4</v>
      </c>
      <c r="H5" s="14">
        <f t="shared" si="0"/>
        <v>3.9237904896505206E-3</v>
      </c>
      <c r="I5" s="14">
        <f t="shared" si="0"/>
        <v>-1.0808864320226402E-3</v>
      </c>
      <c r="K5" s="16">
        <v>-9.0384135420826924E-6</v>
      </c>
      <c r="L5" s="16">
        <v>-5.9897970938645836E-6</v>
      </c>
      <c r="M5" s="16">
        <v>2.800084432331513E-6</v>
      </c>
    </row>
    <row r="6" spans="1:13" x14ac:dyDescent="0.2">
      <c r="A6" s="15">
        <v>41304</v>
      </c>
      <c r="B6" s="14">
        <v>67.02</v>
      </c>
      <c r="C6" s="14">
        <v>150.07</v>
      </c>
      <c r="D6" s="14">
        <v>83.13</v>
      </c>
      <c r="F6" s="15">
        <v>41304</v>
      </c>
      <c r="G6" s="14">
        <f t="shared" si="0"/>
        <v>-2.0867499001756989E-3</v>
      </c>
      <c r="H6" s="14">
        <f t="shared" si="0"/>
        <v>-3.9237904896503991E-3</v>
      </c>
      <c r="I6" s="14">
        <f t="shared" si="0"/>
        <v>-1.0820560117985119E-3</v>
      </c>
    </row>
    <row r="7" spans="1:13" x14ac:dyDescent="0.2">
      <c r="A7" s="15">
        <v>41305</v>
      </c>
      <c r="B7" s="14">
        <v>66.87</v>
      </c>
      <c r="C7" s="14">
        <v>149.69999999999999</v>
      </c>
      <c r="D7" s="14">
        <v>83.28</v>
      </c>
      <c r="F7" s="15">
        <v>41305</v>
      </c>
      <c r="G7" s="14">
        <f t="shared" si="0"/>
        <v>-2.2406462432770242E-3</v>
      </c>
      <c r="H7" s="14">
        <f t="shared" si="0"/>
        <v>-2.4685604823156135E-3</v>
      </c>
      <c r="I7" s="14">
        <f t="shared" si="0"/>
        <v>1.8027767637167611E-3</v>
      </c>
    </row>
    <row r="8" spans="1:13" x14ac:dyDescent="0.2">
      <c r="A8" s="15">
        <v>41306</v>
      </c>
      <c r="B8" s="14">
        <v>67.66</v>
      </c>
      <c r="C8" s="14">
        <v>151.24</v>
      </c>
      <c r="D8" s="14">
        <v>83.05</v>
      </c>
      <c r="F8" s="15">
        <v>41306</v>
      </c>
      <c r="G8" s="14">
        <f t="shared" si="0"/>
        <v>1.1744727286675031E-2</v>
      </c>
      <c r="H8" s="14">
        <f t="shared" si="0"/>
        <v>1.0234687597149569E-2</v>
      </c>
      <c r="I8" s="14">
        <f t="shared" si="0"/>
        <v>-2.7655882474096226E-3</v>
      </c>
      <c r="K8" s="48" t="s">
        <v>23</v>
      </c>
      <c r="L8" s="49"/>
      <c r="M8" s="49"/>
    </row>
    <row r="9" spans="1:13" x14ac:dyDescent="0.2">
      <c r="A9" s="15">
        <v>41309</v>
      </c>
      <c r="B9" s="14">
        <v>66.48</v>
      </c>
      <c r="C9" s="14">
        <v>149.54</v>
      </c>
      <c r="D9" s="14">
        <v>83.34</v>
      </c>
      <c r="F9" s="15">
        <v>41309</v>
      </c>
      <c r="G9" s="14">
        <f t="shared" si="0"/>
        <v>-1.7594012805369503E-2</v>
      </c>
      <c r="H9" s="14">
        <f t="shared" si="0"/>
        <v>-1.1304063450962751E-2</v>
      </c>
      <c r="I9" s="14">
        <f t="shared" si="0"/>
        <v>3.4857899350036132E-3</v>
      </c>
      <c r="K9" s="40">
        <f t="array" ref="K9:M11">CorrMatrix(G3:I22)</f>
        <v>1</v>
      </c>
      <c r="L9" s="40">
        <v>0.93952792499201165</v>
      </c>
      <c r="M9" s="40">
        <v>-0.63789411791838635</v>
      </c>
    </row>
    <row r="10" spans="1:13" x14ac:dyDescent="0.2">
      <c r="A10" s="15">
        <v>41310</v>
      </c>
      <c r="B10" s="14">
        <v>67.459999999999994</v>
      </c>
      <c r="C10" s="14">
        <v>151.05000000000001</v>
      </c>
      <c r="D10" s="14">
        <v>83.2</v>
      </c>
      <c r="F10" s="15">
        <v>41310</v>
      </c>
      <c r="G10" s="14">
        <f t="shared" si="0"/>
        <v>1.4633679086311276E-2</v>
      </c>
      <c r="H10" s="14">
        <f t="shared" si="0"/>
        <v>1.0046992260911694E-2</v>
      </c>
      <c r="I10" s="14">
        <f t="shared" si="0"/>
        <v>-1.6812781671445244E-3</v>
      </c>
      <c r="K10" s="40">
        <v>0.93952792499201165</v>
      </c>
      <c r="L10" s="40">
        <v>1</v>
      </c>
      <c r="M10" s="40">
        <v>-0.5610945289180338</v>
      </c>
    </row>
    <row r="11" spans="1:13" x14ac:dyDescent="0.2">
      <c r="A11" s="15">
        <v>41311</v>
      </c>
      <c r="B11" s="14">
        <v>67.239999999999995</v>
      </c>
      <c r="C11" s="14">
        <v>151.16</v>
      </c>
      <c r="D11" s="14">
        <v>83.4</v>
      </c>
      <c r="F11" s="15">
        <v>41311</v>
      </c>
      <c r="G11" s="14">
        <f t="shared" si="0"/>
        <v>-3.2665210930893454E-3</v>
      </c>
      <c r="H11" s="14">
        <f t="shared" si="0"/>
        <v>7.2797064860702734E-4</v>
      </c>
      <c r="I11" s="14">
        <f t="shared" si="0"/>
        <v>2.4009615375382679E-3</v>
      </c>
      <c r="K11" s="40">
        <v>-0.63789411791838635</v>
      </c>
      <c r="L11" s="40">
        <v>-0.5610945289180338</v>
      </c>
      <c r="M11" s="40">
        <v>1</v>
      </c>
    </row>
    <row r="12" spans="1:13" x14ac:dyDescent="0.2">
      <c r="A12" s="15">
        <v>41312</v>
      </c>
      <c r="B12" s="14">
        <v>67.3</v>
      </c>
      <c r="C12" s="14">
        <v>150.96</v>
      </c>
      <c r="D12" s="14">
        <v>83.41</v>
      </c>
      <c r="F12" s="15">
        <v>41312</v>
      </c>
      <c r="G12" s="14">
        <f t="shared" si="0"/>
        <v>8.9192811026719788E-4</v>
      </c>
      <c r="H12" s="14">
        <f t="shared" si="0"/>
        <v>-1.3239774209933255E-3</v>
      </c>
      <c r="I12" s="14">
        <f t="shared" si="0"/>
        <v>1.1989688881932283E-4</v>
      </c>
    </row>
    <row r="13" spans="1:13" x14ac:dyDescent="0.2">
      <c r="A13" s="15">
        <v>41313</v>
      </c>
      <c r="B13" s="14">
        <v>67.989999999999995</v>
      </c>
      <c r="C13" s="14">
        <v>151.80000000000001</v>
      </c>
      <c r="D13" s="14">
        <v>83.39</v>
      </c>
      <c r="F13" s="15">
        <v>41313</v>
      </c>
      <c r="G13" s="14">
        <f t="shared" si="0"/>
        <v>1.0200398887686112E-2</v>
      </c>
      <c r="H13" s="14">
        <f t="shared" si="0"/>
        <v>5.5489639012347323E-3</v>
      </c>
      <c r="I13" s="14">
        <f t="shared" si="0"/>
        <v>-2.3980815462645177E-4</v>
      </c>
      <c r="K13" s="50" t="s">
        <v>25</v>
      </c>
      <c r="L13" s="50"/>
      <c r="M13" s="50"/>
    </row>
    <row r="14" spans="1:13" x14ac:dyDescent="0.2">
      <c r="A14" s="15">
        <v>41316</v>
      </c>
      <c r="B14" s="14">
        <v>68.010000000000005</v>
      </c>
      <c r="C14" s="14">
        <v>151.77000000000001</v>
      </c>
      <c r="D14" s="14">
        <v>83.29</v>
      </c>
      <c r="F14" s="15">
        <v>41316</v>
      </c>
      <c r="G14" s="14">
        <f t="shared" si="0"/>
        <v>2.941176491790974E-4</v>
      </c>
      <c r="H14" s="14">
        <f t="shared" si="0"/>
        <v>-1.9764798957513355E-4</v>
      </c>
      <c r="I14" s="14">
        <f t="shared" si="0"/>
        <v>-1.1999041516447765E-3</v>
      </c>
      <c r="K14" s="50"/>
      <c r="L14" s="50"/>
      <c r="M14" s="50"/>
    </row>
    <row r="15" spans="1:13" x14ac:dyDescent="0.2">
      <c r="A15" s="15">
        <v>41317</v>
      </c>
      <c r="B15" s="14">
        <v>67.73</v>
      </c>
      <c r="C15" s="14">
        <v>152.02000000000001</v>
      </c>
      <c r="D15" s="14">
        <v>83.31</v>
      </c>
      <c r="F15" s="15">
        <v>41317</v>
      </c>
      <c r="G15" s="14">
        <f t="shared" si="0"/>
        <v>-4.1255399607350203E-3</v>
      </c>
      <c r="H15" s="14">
        <f t="shared" si="0"/>
        <v>1.6458741659399556E-3</v>
      </c>
      <c r="I15" s="14">
        <f t="shared" si="0"/>
        <v>2.4009603956873335E-4</v>
      </c>
      <c r="K15" s="50"/>
      <c r="L15" s="50"/>
      <c r="M15" s="50"/>
    </row>
    <row r="16" spans="1:13" x14ac:dyDescent="0.2">
      <c r="A16" s="15">
        <v>41318</v>
      </c>
      <c r="B16" s="14">
        <v>67.97</v>
      </c>
      <c r="C16" s="14">
        <v>152.15</v>
      </c>
      <c r="D16" s="14">
        <v>83.2</v>
      </c>
      <c r="F16" s="15">
        <v>41318</v>
      </c>
      <c r="G16" s="14">
        <f t="shared" si="0"/>
        <v>3.5372181317345919E-3</v>
      </c>
      <c r="H16" s="14">
        <f t="shared" si="0"/>
        <v>8.547852050856061E-4</v>
      </c>
      <c r="I16" s="14">
        <f t="shared" si="0"/>
        <v>-1.3212421596549885E-3</v>
      </c>
      <c r="K16" s="50"/>
      <c r="L16" s="50"/>
      <c r="M16" s="50"/>
    </row>
    <row r="17" spans="1:13" x14ac:dyDescent="0.2">
      <c r="A17" s="15">
        <v>41319</v>
      </c>
      <c r="B17" s="14">
        <v>67.95</v>
      </c>
      <c r="C17" s="14">
        <v>152.29</v>
      </c>
      <c r="D17" s="14">
        <v>83.32</v>
      </c>
      <c r="F17" s="15">
        <v>41319</v>
      </c>
      <c r="G17" s="14">
        <f t="shared" si="0"/>
        <v>-2.9429076139408418E-4</v>
      </c>
      <c r="H17" s="14">
        <f t="shared" si="0"/>
        <v>9.1972152061938189E-4</v>
      </c>
      <c r="I17" s="14">
        <f t="shared" si="0"/>
        <v>1.4412685656082201E-3</v>
      </c>
      <c r="K17" s="50"/>
      <c r="L17" s="50"/>
      <c r="M17" s="50"/>
    </row>
    <row r="18" spans="1:13" x14ac:dyDescent="0.2">
      <c r="A18" s="15">
        <v>41320</v>
      </c>
      <c r="B18" s="14">
        <v>67.75</v>
      </c>
      <c r="C18" s="14">
        <v>152.11000000000001</v>
      </c>
      <c r="D18" s="14">
        <v>83.25</v>
      </c>
      <c r="F18" s="15">
        <v>41320</v>
      </c>
      <c r="G18" s="14">
        <f t="shared" si="0"/>
        <v>-2.947680837342489E-3</v>
      </c>
      <c r="H18" s="14">
        <f t="shared" si="0"/>
        <v>-1.1826545399478148E-3</v>
      </c>
      <c r="I18" s="14">
        <f t="shared" si="0"/>
        <v>-8.4048753221791644E-4</v>
      </c>
    </row>
    <row r="19" spans="1:13" x14ac:dyDescent="0.2">
      <c r="A19" s="15">
        <v>41324</v>
      </c>
      <c r="B19" s="14">
        <v>68.239999999999995</v>
      </c>
      <c r="C19" s="14">
        <v>153.25</v>
      </c>
      <c r="D19" s="14">
        <v>83.22</v>
      </c>
      <c r="F19" s="15">
        <v>41324</v>
      </c>
      <c r="G19" s="14">
        <f t="shared" si="0"/>
        <v>7.2064434236133882E-3</v>
      </c>
      <c r="H19" s="14">
        <f t="shared" si="0"/>
        <v>7.4666314926690987E-3</v>
      </c>
      <c r="I19" s="14">
        <f t="shared" si="0"/>
        <v>-3.6042530575798278E-4</v>
      </c>
    </row>
    <row r="20" spans="1:13" x14ac:dyDescent="0.2">
      <c r="A20" s="15">
        <v>41325</v>
      </c>
      <c r="B20" s="14">
        <v>67.19</v>
      </c>
      <c r="C20" s="14">
        <v>151.34</v>
      </c>
      <c r="D20" s="14">
        <v>83.28</v>
      </c>
      <c r="F20" s="15">
        <v>41325</v>
      </c>
      <c r="G20" s="14">
        <f t="shared" si="0"/>
        <v>-1.5506476251365021E-2</v>
      </c>
      <c r="H20" s="14">
        <f t="shared" si="0"/>
        <v>-1.2541613549945237E-2</v>
      </c>
      <c r="I20" s="14">
        <f t="shared" si="0"/>
        <v>7.2072075191816662E-4</v>
      </c>
    </row>
    <row r="21" spans="1:13" x14ac:dyDescent="0.2">
      <c r="A21" s="15">
        <v>41326</v>
      </c>
      <c r="B21" s="14">
        <v>66.47</v>
      </c>
      <c r="C21" s="14">
        <v>150.41999999999999</v>
      </c>
      <c r="D21" s="14">
        <v>83.36</v>
      </c>
      <c r="F21" s="15">
        <v>41326</v>
      </c>
      <c r="G21" s="14">
        <f t="shared" si="0"/>
        <v>-1.0773708878568142E-2</v>
      </c>
      <c r="H21" s="14">
        <f t="shared" si="0"/>
        <v>-6.0975798681185567E-3</v>
      </c>
      <c r="I21" s="14">
        <f t="shared" si="0"/>
        <v>9.6015369834328668E-4</v>
      </c>
    </row>
    <row r="22" spans="1:13" x14ac:dyDescent="0.2">
      <c r="A22" s="15">
        <v>41327</v>
      </c>
      <c r="B22" s="14">
        <v>67.14</v>
      </c>
      <c r="C22" s="14">
        <v>151.88999999999999</v>
      </c>
      <c r="D22" s="14">
        <v>83.4</v>
      </c>
      <c r="F22" s="15">
        <v>41327</v>
      </c>
      <c r="G22" s="14">
        <f t="shared" si="0"/>
        <v>1.0029273498398354E-2</v>
      </c>
      <c r="H22" s="14">
        <f t="shared" si="0"/>
        <v>9.7251932516704657E-3</v>
      </c>
      <c r="I22" s="14">
        <f t="shared" si="0"/>
        <v>4.7973135964446601E-4</v>
      </c>
    </row>
  </sheetData>
  <mergeCells count="3">
    <mergeCell ref="K8:M8"/>
    <mergeCell ref="K2:M2"/>
    <mergeCell ref="K13:M1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Note</vt:lpstr>
      <vt:lpstr>Page 736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Benninga</dc:creator>
  <cp:lastModifiedBy>Trainer</cp:lastModifiedBy>
  <dcterms:created xsi:type="dcterms:W3CDTF">2008-02-02T08:25:37Z</dcterms:created>
  <dcterms:modified xsi:type="dcterms:W3CDTF">2022-08-31T19:13:46Z</dcterms:modified>
</cp:coreProperties>
</file>