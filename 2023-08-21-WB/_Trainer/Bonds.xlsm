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eve S\Dropbox\Training\Intuition\2022\_2022.08.28-09.01 World Bank (Fixed Income)\_Trainer\"/>
    </mc:Choice>
  </mc:AlternateContent>
  <xr:revisionPtr revIDLastSave="0" documentId="13_ncr:1_{63B35640-FB2D-4A41-A51A-99409A6D0E08}" xr6:coauthVersionLast="47" xr6:coauthVersionMax="47" xr10:uidLastSave="{00000000-0000-0000-0000-000000000000}"/>
  <bookViews>
    <workbookView xWindow="-120" yWindow="-120" windowWidth="29040" windowHeight="15720" xr2:uid="{F90D2369-B7F6-4DCB-8FD1-5AF7601DA567}"/>
  </bookViews>
  <sheets>
    <sheet name="Bond CF" sheetId="1" r:id="rId1"/>
    <sheet name="Sheet1 (2)" sheetId="3" r:id="rId2"/>
  </sheets>
  <definedNames>
    <definedName name="CFs">'Bond CF'!$C$14:$M$14</definedName>
    <definedName name="Coupon">'Bond CF'!$C$5</definedName>
    <definedName name="Dates">'Bond CF'!$C$12:$M$12</definedName>
    <definedName name="Maturity">'Bond CF'!$C$7</definedName>
    <definedName name="Par">'Bond CF'!$C$9</definedName>
    <definedName name="Price">'Bond CF'!$C$4</definedName>
    <definedName name="Settlement">'Bond CF'!$C$6</definedName>
    <definedName name="Yield">'Bond CF'!$C$8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3" l="1"/>
  <c r="F9" i="1"/>
  <c r="F7" i="1"/>
  <c r="F8" i="1"/>
  <c r="M14" i="1"/>
  <c r="L14" i="1"/>
  <c r="K14" i="1"/>
  <c r="J14" i="1"/>
  <c r="I14" i="1"/>
  <c r="H14" i="1"/>
  <c r="C12" i="3"/>
  <c r="C12" i="1"/>
  <c r="G14" i="1"/>
  <c r="F14" i="1"/>
  <c r="E14" i="1"/>
  <c r="D14" i="1"/>
  <c r="C14" i="1"/>
  <c r="D11" i="1"/>
  <c r="E11" i="1" s="1"/>
  <c r="F11" i="1" s="1"/>
  <c r="G11" i="1" s="1"/>
  <c r="H11" i="1" s="1"/>
  <c r="I11" i="1" s="1"/>
  <c r="I12" i="1" s="1"/>
  <c r="D12" i="3"/>
  <c r="D11" i="3"/>
  <c r="G8" i="1"/>
  <c r="G7" i="1"/>
  <c r="J11" i="1" l="1"/>
  <c r="H12" i="1"/>
  <c r="D12" i="1"/>
  <c r="E12" i="1"/>
  <c r="F12" i="1"/>
  <c r="G12" i="1"/>
  <c r="K11" i="1" l="1"/>
  <c r="J12" i="1"/>
  <c r="K12" i="1" l="1"/>
  <c r="L11" i="1"/>
  <c r="M11" i="1" l="1"/>
  <c r="L12" i="1"/>
  <c r="M12" i="1" l="1"/>
</calcChain>
</file>

<file path=xl/sharedStrings.xml><?xml version="1.0" encoding="utf-8"?>
<sst xmlns="http://schemas.openxmlformats.org/spreadsheetml/2006/main" count="28" uniqueCount="24">
  <si>
    <t>CF</t>
  </si>
  <si>
    <t>IRR</t>
  </si>
  <si>
    <t>XIRR</t>
  </si>
  <si>
    <t>Year</t>
  </si>
  <si>
    <t>Duration</t>
  </si>
  <si>
    <t>MDuration</t>
  </si>
  <si>
    <t>PDuration</t>
  </si>
  <si>
    <t>Date</t>
  </si>
  <si>
    <t>Coupon</t>
  </si>
  <si>
    <t>Settlement</t>
  </si>
  <si>
    <t>Maturity</t>
  </si>
  <si>
    <t>Yield</t>
  </si>
  <si>
    <t>Price</t>
  </si>
  <si>
    <t>Simple Example</t>
  </si>
  <si>
    <t>=DURATION(settlement,maturity,coupon,yld,frequency,basis)</t>
  </si>
  <si>
    <t>=MDURATION(settlement,maturity,coupon,yld,frequency,basis)</t>
  </si>
  <si>
    <t>=PDURATION(rate,pv,fv)</t>
  </si>
  <si>
    <t>Par</t>
  </si>
  <si>
    <t>Macauley D, assumes $100 par</t>
  </si>
  <si>
    <t>Frequency</t>
  </si>
  <si>
    <t>1, 2, or 4</t>
  </si>
  <si>
    <t>Bond Cash Flow Model</t>
  </si>
  <si>
    <t>Basis</t>
  </si>
  <si>
    <t>0,1,2,3, or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</si>
</sst>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&quot;$&quot;#,##0.00"/>
    <numFmt numFmtId="165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0" fontId="2" fillId="0" borderId="0" xfId="0" applyNumberFormat="1" applyFont="1"/>
    <xf numFmtId="14" fontId="2" fillId="0" borderId="0" xfId="0" applyNumberFormat="1" applyFont="1"/>
    <xf numFmtId="8" fontId="2" fillId="0" borderId="0" xfId="0" applyNumberFormat="1" applyFont="1"/>
    <xf numFmtId="14" fontId="3" fillId="0" borderId="0" xfId="0" applyNumberFormat="1" applyFont="1"/>
    <xf numFmtId="9" fontId="0" fillId="0" borderId="0" xfId="0" applyNumberFormat="1"/>
    <xf numFmtId="49" fontId="0" fillId="0" borderId="0" xfId="0" applyNumberFormat="1"/>
    <xf numFmtId="3" fontId="2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3F126-81BB-4B66-AB97-9D2B64EF6DFF}">
  <dimension ref="B2:M17"/>
  <sheetViews>
    <sheetView showGridLines="0" tabSelected="1" topLeftCell="A4" zoomScale="130" zoomScaleNormal="130" workbookViewId="0">
      <selection activeCell="G10" sqref="G10"/>
    </sheetView>
  </sheetViews>
  <sheetFormatPr defaultRowHeight="15" x14ac:dyDescent="0.25"/>
  <cols>
    <col min="1" max="1" width="1.7109375" customWidth="1"/>
    <col min="2" max="2" width="12.7109375" customWidth="1"/>
    <col min="3" max="13" width="10.7109375" customWidth="1"/>
  </cols>
  <sheetData>
    <row r="2" spans="2:13" x14ac:dyDescent="0.25">
      <c r="B2" s="5" t="s">
        <v>21</v>
      </c>
    </row>
    <row r="3" spans="2:13" x14ac:dyDescent="0.25">
      <c r="B3" s="5"/>
    </row>
    <row r="4" spans="2:13" x14ac:dyDescent="0.25">
      <c r="B4" t="s">
        <v>12</v>
      </c>
      <c r="C4" s="8">
        <v>80</v>
      </c>
      <c r="F4" s="10"/>
    </row>
    <row r="5" spans="2:13" x14ac:dyDescent="0.25">
      <c r="B5" t="s">
        <v>8</v>
      </c>
      <c r="C5" s="6">
        <v>0.08</v>
      </c>
    </row>
    <row r="6" spans="2:13" x14ac:dyDescent="0.25">
      <c r="B6" t="s">
        <v>9</v>
      </c>
      <c r="C6" s="7">
        <v>43282</v>
      </c>
    </row>
    <row r="7" spans="2:13" x14ac:dyDescent="0.25">
      <c r="B7" t="s">
        <v>10</v>
      </c>
      <c r="C7" s="9">
        <v>54058</v>
      </c>
      <c r="E7" t="s">
        <v>1</v>
      </c>
      <c r="F7" s="2">
        <f>IRR(CFs,0.1)</f>
        <v>9.11292548511482E-2</v>
      </c>
      <c r="G7" t="str">
        <f ca="1">_xlfn.FORMULATEXT(F7)</f>
        <v>=IRR(CFs,0.1)</v>
      </c>
    </row>
    <row r="8" spans="2:13" x14ac:dyDescent="0.25">
      <c r="B8" t="s">
        <v>11</v>
      </c>
      <c r="C8" s="6">
        <v>0.09</v>
      </c>
      <c r="E8" t="s">
        <v>2</v>
      </c>
      <c r="F8" s="2">
        <f>XIRR(CFs,Dates,0.1)</f>
        <v>9.105332195758821E-2</v>
      </c>
      <c r="G8" t="str">
        <f ca="1">_xlfn.FORMULATEXT(F8)</f>
        <v>=XIRR(CFs,Dates,0.1)</v>
      </c>
    </row>
    <row r="9" spans="2:13" x14ac:dyDescent="0.25">
      <c r="B9" t="s">
        <v>17</v>
      </c>
      <c r="C9" s="8">
        <v>100</v>
      </c>
      <c r="F9" s="2">
        <f>F7-F8</f>
        <v>7.5932893559990666E-5</v>
      </c>
    </row>
    <row r="10" spans="2:13" x14ac:dyDescent="0.25">
      <c r="C10" s="1"/>
    </row>
    <row r="11" spans="2:13" x14ac:dyDescent="0.25">
      <c r="B11" t="s">
        <v>3</v>
      </c>
      <c r="C11">
        <v>0</v>
      </c>
      <c r="D11">
        <f>C11+1</f>
        <v>1</v>
      </c>
      <c r="E11">
        <f t="shared" ref="E11:H11" si="0">D11+1</f>
        <v>2</v>
      </c>
      <c r="F11">
        <f t="shared" si="0"/>
        <v>3</v>
      </c>
      <c r="G11">
        <f t="shared" si="0"/>
        <v>4</v>
      </c>
      <c r="H11">
        <f t="shared" si="0"/>
        <v>5</v>
      </c>
      <c r="I11">
        <f t="shared" ref="I11" si="1">H11+1</f>
        <v>6</v>
      </c>
      <c r="J11">
        <f t="shared" ref="J11" si="2">I11+1</f>
        <v>7</v>
      </c>
      <c r="K11">
        <f t="shared" ref="K11" si="3">J11+1</f>
        <v>8</v>
      </c>
      <c r="L11">
        <f t="shared" ref="L11" si="4">K11+1</f>
        <v>9</v>
      </c>
      <c r="M11">
        <f t="shared" ref="M11" si="5">L11+1</f>
        <v>10</v>
      </c>
    </row>
    <row r="12" spans="2:13" x14ac:dyDescent="0.25">
      <c r="B12" t="s">
        <v>7</v>
      </c>
      <c r="C12" s="1">
        <f>EDATE(C6,0)</f>
        <v>43282</v>
      </c>
      <c r="D12" s="1">
        <f>EDATE($C$12,12*D11)</f>
        <v>43647</v>
      </c>
      <c r="E12" s="1">
        <f t="shared" ref="E12:H12" si="6">EDATE($C$12,12*E11)</f>
        <v>44013</v>
      </c>
      <c r="F12" s="1">
        <f t="shared" si="6"/>
        <v>44378</v>
      </c>
      <c r="G12" s="1">
        <f t="shared" si="6"/>
        <v>44743</v>
      </c>
      <c r="H12" s="1">
        <f t="shared" si="6"/>
        <v>45108</v>
      </c>
      <c r="I12" s="1">
        <f t="shared" ref="I12:M12" si="7">EDATE($C$12,12*I11)</f>
        <v>45474</v>
      </c>
      <c r="J12" s="1">
        <f t="shared" si="7"/>
        <v>45839</v>
      </c>
      <c r="K12" s="1">
        <f t="shared" si="7"/>
        <v>46204</v>
      </c>
      <c r="L12" s="1">
        <f t="shared" si="7"/>
        <v>46569</v>
      </c>
      <c r="M12" s="1">
        <f t="shared" si="7"/>
        <v>46935</v>
      </c>
    </row>
    <row r="14" spans="2:13" x14ac:dyDescent="0.25">
      <c r="B14" t="s">
        <v>0</v>
      </c>
      <c r="C14" s="3">
        <f>-C4</f>
        <v>-80</v>
      </c>
      <c r="D14" s="3">
        <f>$C$4*$C$5</f>
        <v>6.4</v>
      </c>
      <c r="E14" s="3">
        <f>$C$4*$C$5</f>
        <v>6.4</v>
      </c>
      <c r="F14" s="3">
        <f>$C$4*$C$5</f>
        <v>6.4</v>
      </c>
      <c r="G14" s="3">
        <f>$C$4*$C$5</f>
        <v>6.4</v>
      </c>
      <c r="H14" s="3">
        <f t="shared" ref="H14:L14" si="8">$C$4*$C$5</f>
        <v>6.4</v>
      </c>
      <c r="I14" s="3">
        <f t="shared" si="8"/>
        <v>6.4</v>
      </c>
      <c r="J14" s="3">
        <f t="shared" si="8"/>
        <v>6.4</v>
      </c>
      <c r="K14" s="3">
        <f t="shared" si="8"/>
        <v>6.4</v>
      </c>
      <c r="L14" s="3">
        <f t="shared" si="8"/>
        <v>6.4</v>
      </c>
      <c r="M14" s="3">
        <f>Par</f>
        <v>100</v>
      </c>
    </row>
    <row r="16" spans="2:13" x14ac:dyDescent="0.25">
      <c r="F16" s="2"/>
    </row>
    <row r="17" spans="3:3" x14ac:dyDescent="0.25">
      <c r="C17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455F-73C4-4F0B-A61A-6C3EC4F671B1}">
  <dimension ref="B2:K14"/>
  <sheetViews>
    <sheetView showGridLines="0" zoomScale="130" zoomScaleNormal="130" workbookViewId="0">
      <selection activeCell="C11" sqref="C11"/>
    </sheetView>
  </sheetViews>
  <sheetFormatPr defaultRowHeight="15" x14ac:dyDescent="0.25"/>
  <cols>
    <col min="1" max="1" width="1.7109375" customWidth="1"/>
    <col min="2" max="8" width="12.7109375" customWidth="1"/>
  </cols>
  <sheetData>
    <row r="2" spans="2:11" x14ac:dyDescent="0.25">
      <c r="B2" s="5" t="s">
        <v>13</v>
      </c>
    </row>
    <row r="3" spans="2:11" x14ac:dyDescent="0.25">
      <c r="C3" s="8"/>
      <c r="F3" s="10"/>
    </row>
    <row r="4" spans="2:11" x14ac:dyDescent="0.25">
      <c r="B4" t="s">
        <v>8</v>
      </c>
      <c r="C4" s="6">
        <v>0.08</v>
      </c>
    </row>
    <row r="5" spans="2:11" x14ac:dyDescent="0.25">
      <c r="B5" t="s">
        <v>9</v>
      </c>
      <c r="C5" s="7">
        <v>43282</v>
      </c>
    </row>
    <row r="6" spans="2:11" x14ac:dyDescent="0.25">
      <c r="B6" t="s">
        <v>10</v>
      </c>
      <c r="C6" s="9">
        <v>54058</v>
      </c>
      <c r="F6" s="2"/>
    </row>
    <row r="7" spans="2:11" x14ac:dyDescent="0.25">
      <c r="B7" t="s">
        <v>11</v>
      </c>
      <c r="C7" s="6">
        <v>0.09</v>
      </c>
      <c r="F7" s="2"/>
    </row>
    <row r="8" spans="2:11" x14ac:dyDescent="0.25">
      <c r="B8" t="s">
        <v>19</v>
      </c>
      <c r="C8" s="12">
        <v>0</v>
      </c>
      <c r="E8" t="s">
        <v>20</v>
      </c>
    </row>
    <row r="9" spans="2:11" x14ac:dyDescent="0.25">
      <c r="B9" t="s">
        <v>22</v>
      </c>
      <c r="C9" s="13">
        <v>0</v>
      </c>
      <c r="E9" t="s">
        <v>23</v>
      </c>
    </row>
    <row r="11" spans="2:11" x14ac:dyDescent="0.25">
      <c r="B11" t="s">
        <v>4</v>
      </c>
      <c r="C11" t="e">
        <f>DURATION(Settlement,Maturity,Coupon,Yield,C8,0)</f>
        <v>#NUM!</v>
      </c>
      <c r="D11" t="str">
        <f t="shared" ref="D11:D13" ca="1" si="0">_xlfn.FORMULATEXT(C11)</f>
        <v>=DURATION(Settlement,Maturity,Coupon,Yield,C8,0)</v>
      </c>
      <c r="H11" t="s">
        <v>18</v>
      </c>
      <c r="K11" s="11" t="s">
        <v>14</v>
      </c>
    </row>
    <row r="12" spans="2:11" x14ac:dyDescent="0.25">
      <c r="B12" t="s">
        <v>5</v>
      </c>
      <c r="C12">
        <f>MDURATION(Settlement,Maturity,Coupon,Yield,1,0)</f>
        <v>9.9759338907371795</v>
      </c>
      <c r="D12" t="str">
        <f t="shared" ca="1" si="0"/>
        <v>=MDURATION(Settlement,Maturity,Coupon,Yield,1,0)</v>
      </c>
      <c r="K12" s="11" t="s">
        <v>15</v>
      </c>
    </row>
    <row r="13" spans="2:11" x14ac:dyDescent="0.25">
      <c r="K13" s="11" t="s">
        <v>16</v>
      </c>
    </row>
    <row r="14" spans="2:11" x14ac:dyDescent="0.25">
      <c r="B14" t="s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Bond CF</vt:lpstr>
      <vt:lpstr>Sheet1 (2)</vt:lpstr>
      <vt:lpstr>CFs</vt:lpstr>
      <vt:lpstr>Coupon</vt:lpstr>
      <vt:lpstr>Dates</vt:lpstr>
      <vt:lpstr>Maturity</vt:lpstr>
      <vt:lpstr>Par</vt:lpstr>
      <vt:lpstr>Price</vt:lpstr>
      <vt:lpstr>Settlement</vt:lpstr>
      <vt:lpstr>Yield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Stricklen</dc:creator>
  <cp:lastModifiedBy>Trainer</cp:lastModifiedBy>
  <dcterms:created xsi:type="dcterms:W3CDTF">2022-08-13T05:41:45Z</dcterms:created>
  <dcterms:modified xsi:type="dcterms:W3CDTF">2022-08-29T17:47:21Z</dcterms:modified>
</cp:coreProperties>
</file>